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ma\Downloads\"/>
    </mc:Choice>
  </mc:AlternateContent>
  <xr:revisionPtr revIDLastSave="0" documentId="13_ncr:1_{E854D7BB-628A-4A14-B9A3-F9277BD1AE05}" xr6:coauthVersionLast="47" xr6:coauthVersionMax="47" xr10:uidLastSave="{00000000-0000-0000-0000-000000000000}"/>
  <bookViews>
    <workbookView xWindow="-120" yWindow="-120" windowWidth="29040" windowHeight="15720" xr2:uid="{69B6175A-E308-40A0-A0A6-2A70636E1E50}"/>
  </bookViews>
  <sheets>
    <sheet name="LinkedIn Profile Audit" sheetId="1" r:id="rId1"/>
    <sheet name="Posting Analysis" sheetId="2" r:id="rId2"/>
    <sheet name="Website Audit" sheetId="3" r:id="rId3"/>
    <sheet name="Competitor Benchmark" sheetId="4" r:id="rId4"/>
    <sheet name="ICP Profile" sheetId="5" r:id="rId5"/>
    <sheet name="SEO Gap" sheetId="6" r:id="rId6"/>
    <sheet name="Campaign Theme" sheetId="7" r:id="rId7"/>
    <sheet name="Calender Table" sheetId="8" r:id="rId8"/>
    <sheet name="Projections" sheetId="9" r:id="rId9"/>
    <sheet name="KPI Tracker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8" l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4" i="8"/>
  <c r="I13" i="2"/>
  <c r="E7" i="3" l="1"/>
  <c r="I6" i="2" l="1"/>
  <c r="I7" i="2"/>
  <c r="H4" i="2"/>
  <c r="I4" i="2" s="1"/>
  <c r="H5" i="2"/>
  <c r="I5" i="2" s="1"/>
  <c r="H6" i="2"/>
  <c r="H7" i="2"/>
  <c r="H8" i="2"/>
  <c r="I8" i="2" s="1"/>
  <c r="H9" i="2"/>
  <c r="I9" i="2" s="1"/>
  <c r="H10" i="2"/>
  <c r="I10" i="2" s="1"/>
  <c r="H11" i="2"/>
  <c r="I11" i="2" s="1"/>
  <c r="H12" i="2"/>
  <c r="I12" i="2" s="1"/>
  <c r="H13" i="2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3" i="2"/>
  <c r="I3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</calcChain>
</file>

<file path=xl/sharedStrings.xml><?xml version="1.0" encoding="utf-8"?>
<sst xmlns="http://schemas.openxmlformats.org/spreadsheetml/2006/main" count="503" uniqueCount="355">
  <si>
    <t>Elements</t>
  </si>
  <si>
    <t>Company Logo</t>
  </si>
  <si>
    <t>Banner Image</t>
  </si>
  <si>
    <t>Tagline</t>
  </si>
  <si>
    <t>About section filled</t>
  </si>
  <si>
    <t>Industry selected</t>
  </si>
  <si>
    <t>Company size listed</t>
  </si>
  <si>
    <t>Website link added</t>
  </si>
  <si>
    <t>Specialities filled</t>
  </si>
  <si>
    <t>Present (Yes/No)</t>
  </si>
  <si>
    <t>Score</t>
  </si>
  <si>
    <t xml:space="preserve">Yes </t>
  </si>
  <si>
    <t>Total</t>
  </si>
  <si>
    <t>8/8</t>
  </si>
  <si>
    <t>Post</t>
  </si>
  <si>
    <t>Content Type</t>
  </si>
  <si>
    <t>Comments</t>
  </si>
  <si>
    <t>Likes</t>
  </si>
  <si>
    <t>Buyer-Focused or Company-Focused</t>
  </si>
  <si>
    <t>Posting &amp; Content Type Breakdown</t>
  </si>
  <si>
    <t>Date</t>
  </si>
  <si>
    <t>2025-10-10 </t>
  </si>
  <si>
    <t>Job posting</t>
  </si>
  <si>
    <t>Product promotion/demo</t>
  </si>
  <si>
    <t>Article/blog share</t>
  </si>
  <si>
    <t>Reposts</t>
  </si>
  <si>
    <t>Award Win</t>
  </si>
  <si>
    <t>Company-focused = talks about i-ESG itself, their product features, team updates, awards</t>
  </si>
  <si>
    <t>Buyer-focused = talks about ESG compliance pain points, regulatory changes, customer problems</t>
  </si>
  <si>
    <t>Total Engagement</t>
  </si>
  <si>
    <t>Engagement Rate %</t>
  </si>
  <si>
    <t>Value</t>
  </si>
  <si>
    <t>Element</t>
  </si>
  <si>
    <t>Finding (Yes/No or describe)</t>
  </si>
  <si>
    <t>Yes</t>
  </si>
  <si>
    <t>Matric</t>
  </si>
  <si>
    <t>Performance Score</t>
  </si>
  <si>
    <t>Mobile Score</t>
  </si>
  <si>
    <t>Desktop Score</t>
  </si>
  <si>
    <t>SEO Audit Using Ubersuggest</t>
  </si>
  <si>
    <t>Metric</t>
  </si>
  <si>
    <t>Overall SEO Score</t>
  </si>
  <si>
    <t>Meta description present</t>
  </si>
  <si>
    <t>Title tag optimized</t>
  </si>
  <si>
    <t>Sitemap found</t>
  </si>
  <si>
    <t>SSL/HTTPS enabled</t>
  </si>
  <si>
    <t>Mobile friendly</t>
  </si>
  <si>
    <t>74/100</t>
  </si>
  <si>
    <t>Passed</t>
  </si>
  <si>
    <t>Warning</t>
  </si>
  <si>
    <t>34/100</t>
  </si>
  <si>
    <t>59/100</t>
  </si>
  <si>
    <t>Clear value prop headline</t>
  </si>
  <si>
    <t>Mentions WHO it's for</t>
  </si>
  <si>
    <t>Mentions WHAT problem it solves</t>
  </si>
  <si>
    <t>CTA above fold</t>
  </si>
  <si>
    <t>Mobile responsive</t>
  </si>
  <si>
    <t>Blog/content section exists</t>
  </si>
  <si>
    <t>Case studies or testimonials</t>
  </si>
  <si>
    <t>Pricing page exists</t>
  </si>
  <si>
    <t>Main nav menu items</t>
  </si>
  <si>
    <t>Verdict</t>
  </si>
  <si>
    <t>Overall Website Health (Avg. of SEO + Speed)</t>
  </si>
  <si>
    <t>Moderate — content good, performance weak</t>
  </si>
  <si>
    <t>Website Audit</t>
  </si>
  <si>
    <t>i-ESG</t>
  </si>
  <si>
    <t>Competitor Benchmark</t>
  </si>
  <si>
    <t>LinkedIn Followers</t>
  </si>
  <si>
    <t>Posts/month (actual)</t>
  </si>
  <si>
    <t>Profile Completeness</t>
  </si>
  <si>
    <t>Avg Engagement Rate</t>
  </si>
  <si>
    <t>SEO Score</t>
  </si>
  <si>
    <t>Mobile Speed Score</t>
  </si>
  <si>
    <t>Desktop Speed Score</t>
  </si>
  <si>
    <t>Competitor 1 - ESG Connect by Greenly</t>
  </si>
  <si>
    <t>Competitor 2 - ESG Explorer</t>
  </si>
  <si>
    <t>Competitor 3 - Iqgo</t>
  </si>
  <si>
    <t>79/100</t>
  </si>
  <si>
    <t>98/100</t>
  </si>
  <si>
    <t>94/100</t>
  </si>
  <si>
    <t>97/100</t>
  </si>
  <si>
    <t>60/100</t>
  </si>
  <si>
    <t>N/A (no posts)</t>
  </si>
  <si>
    <t>67/100</t>
  </si>
  <si>
    <t>Website unreachable</t>
  </si>
  <si>
    <t>I-ESG Brand Audit</t>
  </si>
  <si>
    <t>Industry</t>
  </si>
  <si>
    <t>Company Size</t>
  </si>
  <si>
    <t>Geography</t>
  </si>
  <si>
    <t>Primary: Korea / APAC.  Expanding: Singapore, SE Asia, global</t>
  </si>
  <si>
    <t>Regulatory Context</t>
  </si>
  <si>
    <t>Manufacturing, Steel, Energy, Automotive, Electronics, Chemical, Financial Services, Construction, Real Estate, IT Services (Heavy &amp; regulated industries dominate -- supply chain ESG risk is core use case)</t>
  </si>
  <si>
    <t>Mid-to-large enterprises -- testimonials reference managing 1,000+ suppliers and board-level dashboards, implying 500+ employee orgs</t>
  </si>
  <si>
    <t>Organisations facing mandatory ESG disclosure requirements, supply chain ESG risk reporting, and ESG sections in client RFPs</t>
  </si>
  <si>
    <t>Primary Buyer</t>
  </si>
  <si>
    <t>Secondary Buyer</t>
  </si>
  <si>
    <t>Tertiary Buyer</t>
  </si>
  <si>
    <t>Key Influencer</t>
  </si>
  <si>
    <t>ESG Manager  /  Sustainability Management Team</t>
  </si>
  <si>
    <t>CFO  /  Head of Finance  /  Finance &amp; Strategy Director</t>
  </si>
  <si>
    <t>COO / CEO (smaller orgs)  --  Corporate Governance Team (larger orgs)</t>
  </si>
  <si>
    <t>Procurement / Supply Chain Leads (drives supplier ESG risk module adoption)</t>
  </si>
  <si>
    <t>1.  ESG disclosure process taking up to 6 months -- too slow for regulatory deadlines</t>
  </si>
  <si>
    <t>2.  Manual ESG data collection across 1,000+ suppliers is unmanageable at scale</t>
  </si>
  <si>
    <t>3.  Lack of in-house ESG expertise/experience to handle compliance confidently</t>
  </si>
  <si>
    <t>4.  Fragmented ESG data across departments -- no single source of truth</t>
  </si>
  <si>
    <t>5.  Subjective, inconsistent supplier ESG scoring criteria</t>
  </si>
  <si>
    <t>6.  Slow turnaround on ESG sections of client RFPs (used to take a week)</t>
  </si>
  <si>
    <t>1.  Cut ESG disclosure time from 6 months to under 1 month</t>
  </si>
  <si>
    <t>2.  Centralise ESG data into one platform -- eliminate repetitive data requests</t>
  </si>
  <si>
    <t>3.  Reduce dependency on external ESG consultants; build in-house capability</t>
  </si>
  <si>
    <t>4.  Build board-level, data-driven ESG dashboards for governance reporting</t>
  </si>
  <si>
    <t>5.  Respond to ESG-related RFP sections within a day instead of a week</t>
  </si>
  <si>
    <t>LinkedIn</t>
  </si>
  <si>
    <t>Press / News</t>
  </si>
  <si>
    <t>Search Terms (Google)</t>
  </si>
  <si>
    <t>Yes -- i-ESG's primary owned channel (400 followers)</t>
  </si>
  <si>
    <t>Korean business press (Joongang, EIN Presswire) -- strong Korea
audience signal, underdeveloped Western/global press presence</t>
  </si>
  <si>
    <t>"ESG disclosure software", "supplier ESG risk management",
"scope 1 2 3 emissions tracking software", "ESG compliance platform
for manufacturers"</t>
  </si>
  <si>
    <t>Use-Case PDFs</t>
  </si>
  <si>
    <t>Customer Testimonials</t>
  </si>
  <si>
    <t>Award / Certification News</t>
  </si>
  <si>
    <t>i-ESG already has one per module (Download Use Case links on site)
-- currently NOT promoted on LinkedIn</t>
  </si>
  <si>
    <t>30+ rich, specific testimonials on website with named job titles
&amp; industries -- a content goldmine, unused on LinkedIn</t>
  </si>
  <si>
    <t>Forbes Korea Social Contribution Award, UN Global Compact,
B-Corp -- credibility content that builds trust</t>
  </si>
  <si>
    <t>Column1</t>
  </si>
  <si>
    <t>Column2</t>
  </si>
  <si>
    <t>Decision Maker  (multi-persona buying group)</t>
  </si>
  <si>
    <t>Pain Points  (sourced directly from customer testimonials)</t>
  </si>
  <si>
    <t>Goals  (sourced directly from customer testimonials)</t>
  </si>
  <si>
    <t>Where they spend time online</t>
  </si>
  <si>
    <t>Conten they consume</t>
  </si>
  <si>
    <t>SEO Gaps</t>
  </si>
  <si>
    <t>Keywords</t>
  </si>
  <si>
    <t>ESG disclosure software</t>
  </si>
  <si>
    <t>supplier ESG risk management software</t>
  </si>
  <si>
    <t>scope 1 2 3 emissions tracking software</t>
  </si>
  <si>
    <t>Position (if yes)</t>
  </si>
  <si>
    <t>Top Competitor Showing</t>
  </si>
  <si>
    <t>Opportunity Level</t>
  </si>
  <si>
    <t>No</t>
  </si>
  <si>
    <t>N/A</t>
  </si>
  <si>
    <t>Workiva, SAP, Gartner</t>
  </si>
  <si>
    <t>Low — too competitive</t>
  </si>
  <si>
    <t>Pulsora, Persefoni, TraceraLow — saturated</t>
  </si>
  <si>
    <t>Riskonnect, EcoVadis</t>
  </si>
  <si>
    <t>ESG platform Korea/Asia mid-size enterprise</t>
  </si>
  <si>
    <t>Yes (PR-driven)</t>
  </si>
  <si>
    <t>Top 3</t>
  </si>
  <si>
    <t>i-ESG Ranks</t>
  </si>
  <si>
    <t>None (own coverage)</t>
  </si>
  <si>
    <t>High — leverage existing strength</t>
  </si>
  <si>
    <t>ESG software Korean manufacturers, AI ESG platform Asia, CSDDD SME compliance</t>
  </si>
  <si>
    <t>Untested</t>
  </si>
  <si>
    <t>Likely low competition</t>
  </si>
  <si>
    <t>High Opportunity</t>
  </si>
  <si>
    <t>Low — saturated</t>
  </si>
  <si>
    <t>Ideal  Customer Profile  —  i-ESG</t>
  </si>
  <si>
    <t>Demographic</t>
  </si>
  <si>
    <t>Campaign Themes Summary</t>
  </si>
  <si>
    <t>Theme</t>
  </si>
  <si>
    <t>Stage</t>
  </si>
  <si>
    <t>Format</t>
  </si>
  <si>
    <t>Frequency</t>
  </si>
  <si>
    <t>Tone</t>
  </si>
  <si>
    <t>CTA</t>
  </si>
  <si>
    <t>Testimonial Takeover</t>
  </si>
  <si>
    <t>Consideration</t>
  </si>
  <si>
    <t>Carousel/Image quote cards</t>
  </si>
  <si>
    <t>2x/week</t>
  </si>
  <si>
    <t>Authentic numbers driven</t>
  </si>
  <si>
    <t>"Comment 'DEMO' for details"</t>
  </si>
  <si>
    <t>Regulation Decoder</t>
  </si>
  <si>
    <t>Awareness</t>
  </si>
  <si>
    <t>Carousel, text + stat hook</t>
  </si>
  <si>
    <t>Educational, slightly urgent</t>
  </si>
  <si>
    <t>"Comment your industry — we'll tell you"</t>
  </si>
  <si>
    <t>AI Behind the Curtain</t>
  </si>
  <si>
    <t>Awareness → Consideration</t>
  </si>
  <si>
    <t>Video/screen-recording, founder POV text</t>
  </si>
  <si>
    <t>1x/week</t>
  </si>
  <si>
    <t>Confident, accessible</t>
  </si>
  <si>
    <t>"Follow for more"</t>
  </si>
  <si>
    <t>Topic 1</t>
  </si>
  <si>
    <t>Topic 2</t>
  </si>
  <si>
    <t>Topic 3</t>
  </si>
  <si>
    <t>Steel Company: 6mo → 1mo disclosure</t>
  </si>
  <si>
    <t>1,000 Suppliers, One Dashboard</t>
  </si>
  <si>
    <t>Why This CFO Stopped Outsourcing</t>
  </si>
  <si>
    <t>CSDDD Update for Mid-Size Companies</t>
  </si>
  <si>
    <t>7M Data Points: What AI Found</t>
  </si>
  <si>
    <t>3 Signs You're Already Behind</t>
  </si>
  <si>
    <t>Why Generic AI Tools Fail at ESG</t>
  </si>
  <si>
    <t>Singapore vs Korea vs EU ESG Rules</t>
  </si>
  <si>
    <t>MIT Sloan to POSCO: Founder Journey</t>
  </si>
  <si>
    <t>Topics per theme</t>
  </si>
  <si>
    <t>Day</t>
  </si>
  <si>
    <t>Topic</t>
  </si>
  <si>
    <t>Mon</t>
  </si>
  <si>
    <t>Carousel</t>
  </si>
  <si>
    <t>CSDDD Update: Does Your Mid-Size Company Need to Comply?</t>
  </si>
  <si>
    <t>Wed</t>
  </si>
  <si>
    <t>Founder POV text</t>
  </si>
  <si>
    <t>We Trained AI on 7M ESG Data Points. Here's What It Found.</t>
  </si>
  <si>
    <t>Fri</t>
  </si>
  <si>
    <t>Quote carousel</t>
  </si>
  <si>
    <t>Steel Company: 6 Months → 1 Month ESG Disclosure</t>
  </si>
  <si>
    <t>Text + stat hook</t>
  </si>
  <si>
    <t>3 Signs Your ESG Reporting Is Already Behind</t>
  </si>
  <si>
    <t>Image + caption</t>
  </si>
  <si>
    <t>Why Generic AI Tools Fail at ESG Reporting</t>
  </si>
  <si>
    <t>1,000 Suppliers, One Dashboard: A Manufacturing Story</t>
  </si>
  <si>
    <t>Singapore vs Korea vs EU: ESG Rules for Exporters</t>
  </si>
  <si>
    <t>From MIT Sloan to POSCO: Our Founder's ESG Journey</t>
  </si>
  <si>
    <t>Why This CFO Stopped Outsourcing ESG Consulting</t>
  </si>
  <si>
    <t>Text + poll</t>
  </si>
  <si>
    <t>Quick Poll: What's Your Biggest ESG Reporting Headache?</t>
  </si>
  <si>
    <t>Screenrecording style</t>
  </si>
  <si>
    <t>Inside the Dashboard: How AI Flags Supplier Risk in Seconds</t>
  </si>
  <si>
    <t>"We Lacked ESG Expertise" — How One Team Closed the Gap</t>
  </si>
  <si>
    <t>CSRD, ISSB, CSDDD: What's the Difference? (Simple Breakdown)</t>
  </si>
  <si>
    <t>13 Patents, 1 Goal: Making ESG Data Make Sense</t>
  </si>
  <si>
    <t>Centralized Data, Faster Collaboration: A Finance Team's Win</t>
  </si>
  <si>
    <t>RFP Asking About Your ESG Score? Here's What Buyers Want to See</t>
  </si>
  <si>
    <t>What 500+ Clients Taught Us About ESG Pain Points</t>
  </si>
  <si>
    <t>Board-Ready Dashboards: How Governance Teams Use i-ESG</t>
  </si>
  <si>
    <t>S No.</t>
  </si>
  <si>
    <t xml:space="preserve">Week Content Calendar </t>
  </si>
  <si>
    <t>Jul-6</t>
  </si>
  <si>
    <t>Jul-15</t>
  </si>
  <si>
    <t>Jul-24</t>
  </si>
  <si>
    <t>Jun-26</t>
  </si>
  <si>
    <t>i-ESG Digital Brand Aduit - 90 Day Mertrics Projection</t>
  </si>
  <si>
    <t>Posts per month</t>
  </si>
  <si>
    <t>Avg impressions/post</t>
  </si>
  <si>
    <t>Engagement rate</t>
  </si>
  <si>
    <t>Follower growth/month</t>
  </si>
  <si>
    <t>Comments per post</t>
  </si>
  <si>
    <t>Baseline Value</t>
  </si>
  <si>
    <t>Industry Benchmark</t>
  </si>
  <si>
    <t>Gap</t>
  </si>
  <si>
    <t>Status</t>
  </si>
  <si>
    <t>12-20 post/month</t>
  </si>
  <si>
    <t>500-1000 per post</t>
  </si>
  <si>
    <t>0.5-1.0% (LinkedIn)</t>
  </si>
  <si>
    <t>10-30/month</t>
  </si>
  <si>
    <t>2-5 per post</t>
  </si>
  <si>
    <t>10-18 post below bwnchmark</t>
  </si>
  <si>
    <t>5-25 below benchmark</t>
  </si>
  <si>
    <t>1.9-4.9 below benchmark</t>
  </si>
  <si>
    <t>280-780 below benchmark</t>
  </si>
  <si>
    <t>Critical</t>
  </si>
  <si>
    <t>Poor</t>
  </si>
  <si>
    <t>Strong</t>
  </si>
  <si>
    <t>Moderate</t>
  </si>
  <si>
    <t>Pojection Driver - What Changes and Why</t>
  </si>
  <si>
    <t>Driver</t>
  </si>
  <si>
    <t>Effect on Reach</t>
  </si>
  <si>
    <t>Effect on Engagement</t>
  </si>
  <si>
    <t>Benchmark Sources</t>
  </si>
  <si>
    <t>Posting frequency 1.73 → 13/month (7.5x)</t>
  </si>
  <si>
    <t>Carousel/testimonial format adoption (60% of posts)</t>
  </si>
  <si>
    <t>ICP-targeted buyer content (from 40% → 80%)</t>
  </si>
  <si>
    <t>Consistent daily posting cadence</t>
  </si>
  <si>
    <t>+7.5x total monthly content volume</t>
  </si>
  <si>
    <t>+3x impressions vs text-only posts</t>
  </si>
  <si>
    <t>LinkedIn algo favors active pages</t>
  </si>
  <si>
    <t>More touchpoints per follower</t>
  </si>
  <si>
    <t>Higher save &amp; share rates</t>
  </si>
  <si>
    <t>+43% engagement (observed in Step 2 audit)</t>
  </si>
  <si>
    <t>Follower notification = return visits</t>
  </si>
  <si>
    <t>Planned 3x/week calendar (Step 8)</t>
  </si>
  <si>
    <t>LinkedIn/Hootsuite 2024 Content Report</t>
  </si>
  <si>
    <t>i-ESG's own historical post data</t>
  </si>
  <si>
    <t>LinkedIn Creator Mode benchmarks</t>
  </si>
  <si>
    <t>+20–30% algo distribution</t>
  </si>
  <si>
    <t>90 Day Month by month Projection</t>
  </si>
  <si>
    <t>Mertric</t>
  </si>
  <si>
    <t>Post per month</t>
  </si>
  <si>
    <t>Avg</t>
  </si>
  <si>
    <t>impression/post</t>
  </si>
  <si>
    <t>Monthly organic reach</t>
  </si>
  <si>
    <t>Engagement rate/post</t>
  </si>
  <si>
    <t>Avg comment/post</t>
  </si>
  <si>
    <t>Total followers (end M3)</t>
  </si>
  <si>
    <t>Baseline (Now)</t>
  </si>
  <si>
    <t>Month 1 (Jul 2026)</t>
  </si>
  <si>
    <t>Month 3 (Sept 2026)</t>
  </si>
  <si>
    <t>Change (M3 vs Base)</t>
  </si>
  <si>
    <t>Month 2 (Aug 2026)</t>
  </si>
  <si>
    <t xml:space="preserve"> +652% volume</t>
  </si>
  <si>
    <t>+27% per-post quality</t>
  </si>
  <si>
    <t>+856% (volume-driven)</t>
  </si>
  <si>
    <t>+25% (quality-driven)</t>
  </si>
  <si>
    <t>+900% (CTA-driven)</t>
  </si>
  <si>
    <t>+9.75% absolute</t>
  </si>
  <si>
    <t>Baseline- Current State (Audit June 2026)</t>
  </si>
  <si>
    <t>KPI Tracking Framework (Monthly)</t>
  </si>
  <si>
    <t>KPI</t>
  </si>
  <si>
    <t>Measurement Tool</t>
  </si>
  <si>
    <t>Baseline</t>
  </si>
  <si>
    <t>Month 1 Target</t>
  </si>
  <si>
    <t>Month 2 Target</t>
  </si>
  <si>
    <t>Month 3 Target</t>
  </si>
  <si>
    <t>Posts published/month</t>
  </si>
  <si>
    <t>Avg comments/post</t>
  </si>
  <si>
    <t>Carousel posts published</t>
  </si>
  <si>
    <t>Buyer-focused posts % total</t>
  </si>
  <si>
    <t>Posts with CTA</t>
  </si>
  <si>
    <t>Manual count</t>
  </si>
  <si>
    <t>LinkedIn Page Analytics</t>
  </si>
  <si>
    <t>Manual content audit</t>
  </si>
  <si>
    <t>1.73</t>
  </si>
  <si>
    <t>Website &amp; SEO KPIs</t>
  </si>
  <si>
    <t>Mobile Page Speed Score</t>
  </si>
  <si>
    <t>Desktop Page Speed Score</t>
  </si>
  <si>
    <t>Blog posts published</t>
  </si>
  <si>
    <t>Pages indexed by Google</t>
  </si>
  <si>
    <t>Inbound leads via website</t>
  </si>
  <si>
    <t>Google PageSpeed Insights</t>
  </si>
  <si>
    <t>SEO Site Checkup</t>
  </si>
  <si>
    <t>Manual count (i-esg.io/blog)</t>
  </si>
  <si>
    <t>site:i-esg.io search</t>
  </si>
  <si>
    <t>Contact form / CRM</t>
  </si>
  <si>
    <t>9+</t>
  </si>
  <si>
    <t>45/100</t>
  </si>
  <si>
    <t>65/100</t>
  </si>
  <si>
    <t>76/100</t>
  </si>
  <si>
    <t>10+</t>
  </si>
  <si>
    <t>55/100</t>
  </si>
  <si>
    <t>75/100</t>
  </si>
  <si>
    <t>78/100</t>
  </si>
  <si>
    <t>12+</t>
  </si>
  <si>
    <t>80/100</t>
  </si>
  <si>
    <t>14+</t>
  </si>
  <si>
    <t>3-5</t>
  </si>
  <si>
    <t>2-5</t>
  </si>
  <si>
    <t>1-2</t>
  </si>
  <si>
    <t>How to Measure - Step by Step Monthly Process</t>
  </si>
  <si>
    <t>Step</t>
  </si>
  <si>
    <t>Action</t>
  </si>
  <si>
    <t>Step 1</t>
  </si>
  <si>
    <t>Step 2</t>
  </si>
  <si>
    <t>Step 3</t>
  </si>
  <si>
    <t>Step 4</t>
  </si>
  <si>
    <t>Step 5</t>
  </si>
  <si>
    <t>Step 6</t>
  </si>
  <si>
    <t>Step 7</t>
  </si>
  <si>
    <t>Go to i-ESG's LinkedIn Page → Analytics tab</t>
  </si>
  <si>
    <t>Export Content Analytics CSV (shows impressions, engagement per post)</t>
  </si>
  <si>
    <t>Paste data into Actual column in this tracker</t>
  </si>
  <si>
    <t>Manually count posts by type (carousel vs image vs text) and buyer vs company focus</t>
  </si>
  <si>
    <t>Run pagespeed.web.dev and seositecheckup.com for website scores</t>
  </si>
  <si>
    <t>RAG-rate each KPI: Green = on/above target, Amber = 0–15% below, Red = &gt;15% below target</t>
  </si>
  <si>
    <t>Screenshot dashboard → share with i-ESG team as monthly performance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</si>
</sst>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1A1A1A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  <charset val="1"/>
    </font>
    <font>
      <sz val="11"/>
      <color theme="9" tint="0.59999389629810485"/>
      <name val="Calibri"/>
      <family val="2"/>
      <scheme val="minor"/>
    </font>
    <font>
      <b/>
      <sz val="18"/>
      <color theme="1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8" fillId="0" borderId="0"/>
    <xf numFmtId="9" fontId="8" fillId="0" borderId="0"/>
  </cellStyleXfs>
  <cellXfs count="92">
    <xf numFmtId="0" fontId="0" fillId="0" borderId="0" xfId="0"/>
    <xf numFmtId="16" fontId="0" fillId="0" borderId="0" xfId="0" applyNumberFormat="1"/>
    <xf numFmtId="14" fontId="0" fillId="0" borderId="0" xfId="1" applyNumberFormat="1" applyFont="1"/>
    <xf numFmtId="0" fontId="5" fillId="0" borderId="1" xfId="0" applyFont="1" applyBorder="1"/>
    <xf numFmtId="14" fontId="5" fillId="0" borderId="1" xfId="0" applyNumberFormat="1" applyFont="1" applyBorder="1"/>
    <xf numFmtId="14" fontId="6" fillId="0" borderId="1" xfId="0" applyNumberFormat="1" applyFont="1" applyBorder="1"/>
    <xf numFmtId="14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1" fontId="5" fillId="0" borderId="1" xfId="0" applyNumberFormat="1" applyFont="1" applyBorder="1"/>
    <xf numFmtId="0" fontId="5" fillId="0" borderId="7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Alignment="1">
      <alignment horizontal="left"/>
    </xf>
    <xf numFmtId="2" fontId="0" fillId="0" borderId="0" xfId="0" applyNumberFormat="1"/>
    <xf numFmtId="0" fontId="0" fillId="5" borderId="0" xfId="0" applyFill="1"/>
    <xf numFmtId="16" fontId="0" fillId="0" borderId="0" xfId="0" quotePrefix="1" applyNumberFormat="1"/>
    <xf numFmtId="0" fontId="0" fillId="6" borderId="0" xfId="0" applyFill="1"/>
    <xf numFmtId="0" fontId="5" fillId="0" borderId="2" xfId="0" applyFont="1" applyBorder="1"/>
    <xf numFmtId="0" fontId="5" fillId="0" borderId="8" xfId="0" applyFont="1" applyBorder="1"/>
    <xf numFmtId="0" fontId="5" fillId="0" borderId="9" xfId="0" applyFont="1" applyBorder="1"/>
    <xf numFmtId="0" fontId="5" fillId="7" borderId="1" xfId="0" applyFont="1" applyFill="1" applyBorder="1"/>
    <xf numFmtId="14" fontId="5" fillId="0" borderId="7" xfId="0" applyNumberFormat="1" applyFont="1" applyBorder="1"/>
    <xf numFmtId="1" fontId="5" fillId="0" borderId="7" xfId="0" applyNumberFormat="1" applyFont="1" applyBorder="1"/>
    <xf numFmtId="2" fontId="5" fillId="0" borderId="8" xfId="0" applyNumberFormat="1" applyFont="1" applyBorder="1"/>
    <xf numFmtId="2" fontId="5" fillId="0" borderId="10" xfId="0" applyNumberFormat="1" applyFont="1" applyBorder="1"/>
    <xf numFmtId="0" fontId="7" fillId="3" borderId="4" xfId="0" applyFont="1" applyFill="1" applyBorder="1"/>
    <xf numFmtId="0" fontId="7" fillId="3" borderId="3" xfId="0" applyFont="1" applyFill="1" applyBorder="1"/>
    <xf numFmtId="0" fontId="7" fillId="3" borderId="5" xfId="0" applyFont="1" applyFill="1" applyBorder="1"/>
    <xf numFmtId="0" fontId="7" fillId="3" borderId="1" xfId="0" applyFont="1" applyFill="1" applyBorder="1"/>
    <xf numFmtId="0" fontId="7" fillId="4" borderId="1" xfId="0" applyFont="1" applyFill="1" applyBorder="1"/>
    <xf numFmtId="0" fontId="0" fillId="8" borderId="0" xfId="0" applyFill="1"/>
    <xf numFmtId="2" fontId="5" fillId="7" borderId="1" xfId="0" applyNumberFormat="1" applyFont="1" applyFill="1" applyBorder="1"/>
    <xf numFmtId="0" fontId="2" fillId="0" borderId="10" xfId="0" applyFont="1" applyBorder="1"/>
    <xf numFmtId="0" fontId="7" fillId="2" borderId="4" xfId="0" applyFont="1" applyFill="1" applyBorder="1"/>
    <xf numFmtId="0" fontId="7" fillId="2" borderId="3" xfId="0" applyFont="1" applyFill="1" applyBorder="1"/>
    <xf numFmtId="0" fontId="7" fillId="2" borderId="6" xfId="0" applyFont="1" applyFill="1" applyBorder="1"/>
    <xf numFmtId="0" fontId="5" fillId="0" borderId="12" xfId="0" applyFont="1" applyBorder="1"/>
    <xf numFmtId="0" fontId="2" fillId="0" borderId="9" xfId="0" applyFont="1" applyBorder="1"/>
    <xf numFmtId="0" fontId="2" fillId="0" borderId="7" xfId="0" applyFont="1" applyBorder="1"/>
    <xf numFmtId="0" fontId="2" fillId="0" borderId="11" xfId="0" quotePrefix="1" applyFont="1" applyBorder="1" applyAlignment="1">
      <alignment horizontal="right"/>
    </xf>
    <xf numFmtId="16" fontId="5" fillId="0" borderId="1" xfId="0" quotePrefix="1" applyNumberFormat="1" applyFont="1" applyBorder="1" applyAlignment="1">
      <alignment horizontal="right"/>
    </xf>
    <xf numFmtId="0" fontId="5" fillId="0" borderId="1" xfId="0" quotePrefix="1" applyFont="1" applyBorder="1" applyAlignment="1">
      <alignment horizontal="right"/>
    </xf>
    <xf numFmtId="10" fontId="5" fillId="0" borderId="1" xfId="0" applyNumberFormat="1" applyFont="1" applyBorder="1"/>
    <xf numFmtId="0" fontId="5" fillId="0" borderId="0" xfId="0" applyFont="1" applyAlignment="1">
      <alignment horizontal="right"/>
    </xf>
    <xf numFmtId="16" fontId="5" fillId="7" borderId="1" xfId="0" quotePrefix="1" applyNumberFormat="1" applyFont="1" applyFill="1" applyBorder="1" applyAlignment="1">
      <alignment horizontal="right"/>
    </xf>
    <xf numFmtId="16" fontId="5" fillId="7" borderId="1" xfId="0" quotePrefix="1" applyNumberFormat="1" applyFont="1" applyFill="1" applyBorder="1" applyAlignment="1">
      <alignment horizontal="left"/>
    </xf>
    <xf numFmtId="0" fontId="0" fillId="0" borderId="1" xfId="0" applyBorder="1"/>
    <xf numFmtId="0" fontId="9" fillId="3" borderId="1" xfId="0" applyFont="1" applyFill="1" applyBorder="1"/>
    <xf numFmtId="0" fontId="11" fillId="3" borderId="1" xfId="0" applyFont="1" applyFill="1" applyBorder="1"/>
    <xf numFmtId="17" fontId="5" fillId="7" borderId="1" xfId="0" applyNumberFormat="1" applyFont="1" applyFill="1" applyBorder="1"/>
    <xf numFmtId="17" fontId="5" fillId="0" borderId="1" xfId="0" applyNumberFormat="1" applyFont="1" applyBorder="1"/>
    <xf numFmtId="17" fontId="11" fillId="3" borderId="1" xfId="0" applyNumberFormat="1" applyFont="1" applyFill="1" applyBorder="1"/>
    <xf numFmtId="0" fontId="12" fillId="0" borderId="1" xfId="0" applyFont="1" applyBorder="1"/>
    <xf numFmtId="0" fontId="0" fillId="0" borderId="3" xfId="0" applyBorder="1"/>
    <xf numFmtId="9" fontId="0" fillId="0" borderId="0" xfId="0" applyNumberFormat="1"/>
    <xf numFmtId="0" fontId="3" fillId="4" borderId="8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66" fontId="11" fillId="3" borderId="1" xfId="0" applyNumberFormat="1" applyFont="1" applyFill="1" applyBorder="1"/>
    <xf numFmtId="10" fontId="11" fillId="3" borderId="1" xfId="0" applyNumberFormat="1" applyFont="1" applyFill="1" applyBorder="1"/>
    <xf numFmtId="1" fontId="5" fillId="7" borderId="1" xfId="0" quotePrefix="1" applyNumberFormat="1" applyFont="1" applyFill="1" applyBorder="1" applyAlignment="1">
      <alignment horizontal="right"/>
    </xf>
    <xf numFmtId="0" fontId="5" fillId="7" borderId="1" xfId="0" applyFont="1" applyFill="1" applyBorder="1" applyAlignment="1">
      <alignment horizontal="right"/>
    </xf>
    <xf numFmtId="0" fontId="11" fillId="3" borderId="1" xfId="0" applyFont="1" applyFill="1" applyBorder="1" applyAlignment="1">
      <alignment horizontal="right"/>
    </xf>
    <xf numFmtId="166" fontId="5" fillId="0" borderId="1" xfId="0" applyNumberFormat="1" applyFont="1" applyBorder="1" applyAlignment="1">
      <alignment horizontal="right"/>
    </xf>
    <xf numFmtId="1" fontId="5" fillId="0" borderId="1" xfId="0" applyNumberFormat="1" applyFont="1" applyBorder="1" applyAlignment="1">
      <alignment horizontal="right"/>
    </xf>
    <xf numFmtId="0" fontId="7" fillId="3" borderId="1" xfId="0" applyFont="1" applyFill="1" applyBorder="1" applyAlignment="1"/>
    <xf numFmtId="17" fontId="5" fillId="7" borderId="1" xfId="0" applyNumberFormat="1" applyFont="1" applyFill="1" applyBorder="1" applyAlignment="1">
      <alignment horizontal="left"/>
    </xf>
    <xf numFmtId="17" fontId="5" fillId="0" borderId="1" xfId="0" applyNumberFormat="1" applyFont="1" applyBorder="1" applyAlignment="1">
      <alignment horizontal="left"/>
    </xf>
    <xf numFmtId="17" fontId="11" fillId="3" borderId="1" xfId="0" applyNumberFormat="1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17" fontId="5" fillId="7" borderId="1" xfId="0" applyNumberFormat="1" applyFont="1" applyFill="1" applyBorder="1" applyAlignment="1">
      <alignment horizontal="right"/>
    </xf>
    <xf numFmtId="17" fontId="5" fillId="0" borderId="1" xfId="0" applyNumberFormat="1" applyFont="1" applyBorder="1" applyAlignment="1">
      <alignment horizontal="right"/>
    </xf>
    <xf numFmtId="0" fontId="11" fillId="3" borderId="1" xfId="0" applyNumberFormat="1" applyFont="1" applyFill="1" applyBorder="1" applyAlignment="1">
      <alignment horizontal="right"/>
    </xf>
    <xf numFmtId="10" fontId="5" fillId="7" borderId="1" xfId="0" quotePrefix="1" applyNumberFormat="1" applyFont="1" applyFill="1" applyBorder="1" applyAlignment="1">
      <alignment horizontal="right"/>
    </xf>
    <xf numFmtId="9" fontId="5" fillId="7" borderId="1" xfId="0" quotePrefix="1" applyNumberFormat="1" applyFont="1" applyFill="1" applyBorder="1" applyAlignment="1">
      <alignment horizontal="right"/>
    </xf>
    <xf numFmtId="10" fontId="5" fillId="7" borderId="1" xfId="0" applyNumberFormat="1" applyFont="1" applyFill="1" applyBorder="1" applyAlignment="1">
      <alignment horizontal="right"/>
    </xf>
    <xf numFmtId="9" fontId="5" fillId="7" borderId="1" xfId="0" applyNumberFormat="1" applyFont="1" applyFill="1" applyBorder="1" applyAlignment="1">
      <alignment horizontal="right"/>
    </xf>
    <xf numFmtId="9" fontId="5" fillId="0" borderId="1" xfId="0" applyNumberFormat="1" applyFont="1" applyBorder="1" applyAlignment="1">
      <alignment horizontal="right"/>
    </xf>
    <xf numFmtId="1" fontId="5" fillId="7" borderId="1" xfId="0" applyNumberFormat="1" applyFont="1" applyFill="1" applyBorder="1" applyAlignment="1">
      <alignment horizontal="right"/>
    </xf>
    <xf numFmtId="2" fontId="11" fillId="3" borderId="1" xfId="0" applyNumberFormat="1" applyFont="1" applyFill="1" applyBorder="1" applyAlignment="1">
      <alignment horizontal="right"/>
    </xf>
    <xf numFmtId="1" fontId="11" fillId="3" borderId="1" xfId="0" applyNumberFormat="1" applyFont="1" applyFill="1" applyBorder="1" applyAlignment="1">
      <alignment horizontal="right"/>
    </xf>
  </cellXfs>
  <cellStyles count="4">
    <cellStyle name="Normal" xfId="0" builtinId="0"/>
    <cellStyle name="Normal 2" xfId="2" xr:uid="{542C9BAB-2A13-4B54-B721-D9AE0580C5C6}"/>
    <cellStyle name="Percent" xfId="1" builtinId="5"/>
    <cellStyle name="Percent 2" xfId="3" xr:uid="{5A2ED757-5A4D-42FD-8B5F-2F2DF562DBB4}"/>
  </cellStyles>
  <dxfs count="38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9" tint="0.59999389629810485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</dxf>
  </dxfs>
  <tableStyles count="0" defaultTableStyle="TableStyleMedium2" defaultPivotStyle="PivotStyleLight16"/>
  <colors>
    <mruColors>
      <color rgb="FFFF6600"/>
      <color rgb="FFCDAB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262758</xdr:colOff>
      <xdr:row>23</xdr:row>
      <xdr:rowOff>16422</xdr:rowOff>
    </xdr:from>
    <xdr:to>
      <xdr:col>6</xdr:col>
      <xdr:colOff>5847030</xdr:colOff>
      <xdr:row>30</xdr:row>
      <xdr:rowOff>147802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6D2480B-492F-3EF9-EDD3-9BE1F019714D}"/>
            </a:ext>
          </a:extLst>
        </xdr:cNvPr>
        <xdr:cNvSpPr txBox="1"/>
      </xdr:nvSpPr>
      <xdr:spPr>
        <a:xfrm>
          <a:off x="6769936" y="4628031"/>
          <a:ext cx="5584272" cy="1451677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latin typeface="Times New Roman" panose="02020603050405020304" pitchFamily="18" charset="0"/>
              <a:cs typeface="Times New Roman" panose="02020603050405020304" pitchFamily="18" charset="0"/>
            </a:rPr>
            <a:t>Summary Matric                                                               		             Value</a:t>
          </a:r>
        </a:p>
        <a:p>
          <a:r>
            <a:rPr lang="en-IN" sz="1100" b="1">
              <a:latin typeface="Times New Roman" panose="02020603050405020304" pitchFamily="18" charset="0"/>
              <a:cs typeface="Times New Roman" panose="02020603050405020304" pitchFamily="18" charset="0"/>
            </a:rPr>
            <a:t>--------------------------------------------------------------------------------------------------------------------</a:t>
          </a:r>
        </a:p>
        <a:p>
          <a:r>
            <a:rPr lang="en-IN" sz="1100">
              <a:latin typeface="Times New Roman" panose="02020603050405020304" pitchFamily="18" charset="0"/>
              <a:cs typeface="Times New Roman" panose="02020603050405020304" pitchFamily="18" charset="0"/>
            </a:rPr>
            <a:t>Total</a:t>
          </a:r>
          <a:r>
            <a:rPr lang="en-IN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post 					                   20</a:t>
          </a:r>
        </a:p>
        <a:p>
          <a:r>
            <a:rPr lang="en-IN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Actual Posting Frequency			                               </a:t>
          </a:r>
          <a:r>
            <a:rPr lang="en-IN">
              <a:latin typeface="Times New Roman" panose="02020603050405020304" pitchFamily="18" charset="0"/>
              <a:cs typeface="Times New Roman" panose="02020603050405020304" pitchFamily="18" charset="0"/>
            </a:rPr>
            <a:t>1.73/month</a:t>
          </a:r>
          <a:endParaRPr lang="en-IN" sz="11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N">
              <a:latin typeface="Times New Roman" panose="02020603050405020304" pitchFamily="18" charset="0"/>
              <a:cs typeface="Times New Roman" panose="02020603050405020304" pitchFamily="18" charset="0"/>
            </a:rPr>
            <a:t>Avg Engagement Rate 				</a:t>
          </a:r>
          <a:r>
            <a:rPr lang="en-IN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</a:t>
          </a:r>
          <a:r>
            <a:rPr lang="en-IN">
              <a:latin typeface="Times New Roman" panose="02020603050405020304" pitchFamily="18" charset="0"/>
              <a:cs typeface="Times New Roman" panose="02020603050405020304" pitchFamily="18" charset="0"/>
            </a:rPr>
            <a:t>2.71%</a:t>
          </a:r>
        </a:p>
        <a:p>
          <a:r>
            <a:rPr lang="en-IN">
              <a:latin typeface="Times New Roman" panose="02020603050405020304" pitchFamily="18" charset="0"/>
              <a:cs typeface="Times New Roman" panose="02020603050405020304" pitchFamily="18" charset="0"/>
            </a:rPr>
            <a:t>Total Comments				</a:t>
          </a:r>
          <a:r>
            <a:rPr lang="en-IN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</a:t>
          </a:r>
          <a:r>
            <a:rPr lang="en-IN">
              <a:latin typeface="Times New Roman" panose="02020603050405020304" pitchFamily="18" charset="0"/>
              <a:cs typeface="Times New Roman" panose="02020603050405020304" pitchFamily="18" charset="0"/>
            </a:rPr>
            <a:t>2</a:t>
          </a:r>
        </a:p>
        <a:p>
          <a:r>
            <a:rPr lang="en-IN">
              <a:latin typeface="Times New Roman" panose="02020603050405020304" pitchFamily="18" charset="0"/>
              <a:cs typeface="Times New Roman" panose="02020603050405020304" pitchFamily="18" charset="0"/>
            </a:rPr>
            <a:t>Best Content Type			</a:t>
          </a:r>
          <a:r>
            <a:rPr lang="en-IN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</a:t>
          </a:r>
          <a:r>
            <a:rPr lang="en-IN">
              <a:latin typeface="Times New Roman" panose="02020603050405020304" pitchFamily="18" charset="0"/>
              <a:cs typeface="Times New Roman" panose="02020603050405020304" pitchFamily="18" charset="0"/>
            </a:rPr>
            <a:t>Article/blog share</a:t>
          </a:r>
        </a:p>
        <a:p>
          <a:r>
            <a:rPr lang="en-IN">
              <a:latin typeface="Times New Roman" panose="02020603050405020304" pitchFamily="18" charset="0"/>
              <a:cs typeface="Times New Roman" panose="02020603050405020304" pitchFamily="18" charset="0"/>
            </a:rPr>
            <a:t>Buyer vs Company Focus Gap            Buyer content 43% more engaging, but only 40% of posts</a:t>
          </a:r>
          <a:endParaRPr lang="en-IN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0BA7F7-1B36-440B-92F0-488405C17AC5}" name="Table6" displayName="Table6" ref="A3:C12" totalsRowShown="0" headerRowDxfId="37" dataDxfId="35" headerRowBorderDxfId="36" tableBorderDxfId="34" totalsRowBorderDxfId="33">
  <tableColumns count="3">
    <tableColumn id="1" xr3:uid="{E792B7C3-B59A-48C6-9527-35886DF81B39}" name="Elements" dataDxfId="32"/>
    <tableColumn id="2" xr3:uid="{C6587074-0399-4C16-8876-713705095988}" name="Present (Yes/No)" dataDxfId="31"/>
    <tableColumn id="3" xr3:uid="{A744EA7D-E4A6-4D0E-AD36-FEDE04EC2D4A}" name="Score" dataDxf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40E2A8-16E6-43A3-B7B5-66CC32759663}" name="Table5" displayName="Table5" ref="A2:I22" totalsRowShown="0" headerRowDxfId="29" headerRowBorderDxfId="28" tableBorderDxfId="27" totalsRowBorderDxfId="26">
  <tableColumns count="9">
    <tableColumn id="1" xr3:uid="{09763614-D4A9-49C1-9E00-7B63D4EFFACA}" name="Post" dataDxfId="25">
      <calculatedColumnFormula>A2+1</calculatedColumnFormula>
    </tableColumn>
    <tableColumn id="2" xr3:uid="{1413EC95-E958-457E-A103-E466DB5B1CA5}" name="Date" dataDxfId="24"/>
    <tableColumn id="3" xr3:uid="{0A29F6C6-2B55-4F11-9595-1980CA167FC8}" name="Content Type" dataDxfId="23"/>
    <tableColumn id="4" xr3:uid="{016B28E3-C569-4F04-8BF5-B3CE2C6ABB14}" name="Likes" dataDxfId="22"/>
    <tableColumn id="5" xr3:uid="{92BF7791-984B-4E3D-95E5-679F48A21814}" name="Comments" dataDxfId="21"/>
    <tableColumn id="6" xr3:uid="{F0ACC933-CDAA-4B94-9B9E-48330D893057}" name="Reposts" dataDxfId="20"/>
    <tableColumn id="7" xr3:uid="{0F0193C8-87E3-4B38-9AF2-F2D277CBB5F3}" name="Buyer-Focused or Company-Focused" dataDxfId="19"/>
    <tableColumn id="8" xr3:uid="{D7D01A8D-7B41-49A1-83B3-15CA6CD436AF}" name="Total Engagement" dataDxfId="18">
      <calculatedColumnFormula>D3+E3+F3</calculatedColumnFormula>
    </tableColumn>
    <tableColumn id="9" xr3:uid="{968F3B16-FE0F-447E-846F-C99A7BB15DA8}" name="Engagement Rate %" dataDxfId="17">
      <calculatedColumnFormula>H3/400*100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E5ED72-960A-459D-AF69-48A0BB9E7CF5}" name="Table4" displayName="Table4" ref="A2:B11" totalsRowShown="0" headerRowDxfId="16" headerRowBorderDxfId="15" tableBorderDxfId="14" totalsRowBorderDxfId="13">
  <tableColumns count="2">
    <tableColumn id="1" xr3:uid="{2EC0D0F6-863E-4A72-9649-2A1CB4140411}" name="Element" dataDxfId="12"/>
    <tableColumn id="2" xr3:uid="{B52F0B1D-9BE9-4DAD-BDC4-A319084FA00D}" name="Finding (Yes/No or describe)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54C92EB-F432-41F9-A915-6B65348BDFC3}" name="Table8" displayName="Table8" ref="A2:E9" totalsRowShown="0" headerRowDxfId="10" dataDxfId="9">
  <tableColumns count="5">
    <tableColumn id="1" xr3:uid="{B93C121A-C1EE-4CD5-B52C-2709CF420832}" name="Metric" dataDxfId="8"/>
    <tableColumn id="2" xr3:uid="{E2AE2CA9-7415-4EEB-BDBA-C68CEA34179C}" name="i-ESG" dataDxfId="7"/>
    <tableColumn id="3" xr3:uid="{F150B65C-1705-4719-811C-317C73258CD4}" name="Competitor 1 - ESG Connect by Greenly" dataDxfId="6"/>
    <tableColumn id="4" xr3:uid="{49399BB1-1F63-419A-B101-2751D36C49AD}" name="Competitor 2 - ESG Explorer" dataDxfId="5"/>
    <tableColumn id="5" xr3:uid="{0DC7594C-35E0-44D2-A7EF-86249E1B4080}" name="Competitor 3 - Iqgo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99649D-BB91-4E24-9D8F-766FC471ADB2}" name="Table7" displayName="Table7" ref="A3:B7" totalsRowShown="0" headerRowDxfId="3" dataDxfId="2">
  <tableColumns count="2">
    <tableColumn id="1" xr3:uid="{69A37221-BA0A-491B-9AD6-99BC47280893}" name="Column1" dataDxfId="1"/>
    <tableColumn id="2" xr3:uid="{46D1352A-B96B-4C02-9085-FACD5A0A5835}" name="Column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B2E2-0769-4843-BC67-9681EFAD48E5}">
  <dimension ref="A1:F12"/>
  <sheetViews>
    <sheetView showGridLines="0" tabSelected="1" zoomScaleNormal="100" workbookViewId="0">
      <selection activeCell="A8" sqref="A8"/>
    </sheetView>
  </sheetViews>
  <sheetFormatPr defaultRowHeight="15" x14ac:dyDescent="0.25"/>
  <cols>
    <col min="1" max="1" width="18.85546875" bestFit="1" customWidth="1"/>
    <col min="2" max="2" width="18" customWidth="1"/>
    <col min="5" max="5" width="14.42578125" bestFit="1" customWidth="1"/>
  </cols>
  <sheetData>
    <row r="1" spans="1:6" ht="18.75" x14ac:dyDescent="0.3">
      <c r="A1" s="55" t="s">
        <v>65</v>
      </c>
      <c r="B1" s="56"/>
      <c r="C1" s="57"/>
    </row>
    <row r="2" spans="1:6" ht="18.75" x14ac:dyDescent="0.3">
      <c r="A2" s="55" t="s">
        <v>85</v>
      </c>
      <c r="B2" s="56"/>
      <c r="C2" s="57"/>
    </row>
    <row r="3" spans="1:6" ht="15.75" x14ac:dyDescent="0.25">
      <c r="A3" s="33" t="s">
        <v>0</v>
      </c>
      <c r="B3" s="34" t="s">
        <v>9</v>
      </c>
      <c r="C3" s="35" t="s">
        <v>10</v>
      </c>
    </row>
    <row r="4" spans="1:6" ht="15.75" x14ac:dyDescent="0.25">
      <c r="A4" s="17" t="s">
        <v>1</v>
      </c>
      <c r="B4" s="3" t="s">
        <v>11</v>
      </c>
      <c r="C4" s="36">
        <v>1</v>
      </c>
    </row>
    <row r="5" spans="1:6" ht="15.75" x14ac:dyDescent="0.25">
      <c r="A5" s="17" t="s">
        <v>2</v>
      </c>
      <c r="B5" s="3" t="s">
        <v>11</v>
      </c>
      <c r="C5" s="36">
        <v>1</v>
      </c>
    </row>
    <row r="6" spans="1:6" ht="15.75" x14ac:dyDescent="0.25">
      <c r="A6" s="17" t="s">
        <v>3</v>
      </c>
      <c r="B6" s="3" t="s">
        <v>11</v>
      </c>
      <c r="C6" s="36">
        <v>1</v>
      </c>
    </row>
    <row r="7" spans="1:6" ht="15.75" x14ac:dyDescent="0.25">
      <c r="A7" s="17" t="s">
        <v>4</v>
      </c>
      <c r="B7" s="3" t="s">
        <v>11</v>
      </c>
      <c r="C7" s="36">
        <v>1</v>
      </c>
    </row>
    <row r="8" spans="1:6" ht="15.75" x14ac:dyDescent="0.25">
      <c r="A8" s="17" t="s">
        <v>7</v>
      </c>
      <c r="B8" s="3" t="s">
        <v>11</v>
      </c>
      <c r="C8" s="36">
        <v>1</v>
      </c>
      <c r="F8" s="1"/>
    </row>
    <row r="9" spans="1:6" ht="15.75" x14ac:dyDescent="0.25">
      <c r="A9" s="17" t="s">
        <v>5</v>
      </c>
      <c r="B9" s="3" t="s">
        <v>11</v>
      </c>
      <c r="C9" s="36">
        <v>1</v>
      </c>
    </row>
    <row r="10" spans="1:6" ht="15.75" x14ac:dyDescent="0.25">
      <c r="A10" s="17" t="s">
        <v>6</v>
      </c>
      <c r="B10" s="3" t="s">
        <v>11</v>
      </c>
      <c r="C10" s="36">
        <v>1</v>
      </c>
      <c r="E10" s="2"/>
    </row>
    <row r="11" spans="1:6" ht="15.75" x14ac:dyDescent="0.25">
      <c r="A11" s="17" t="s">
        <v>8</v>
      </c>
      <c r="B11" s="3" t="s">
        <v>11</v>
      </c>
      <c r="C11" s="36">
        <v>1</v>
      </c>
    </row>
    <row r="12" spans="1:6" ht="15.75" x14ac:dyDescent="0.25">
      <c r="A12" s="37" t="s">
        <v>12</v>
      </c>
      <c r="B12" s="38"/>
      <c r="C12" s="39" t="s">
        <v>13</v>
      </c>
    </row>
  </sheetData>
  <mergeCells count="2">
    <mergeCell ref="A2:C2"/>
    <mergeCell ref="A1:C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B67BA-D846-4E47-977E-5B4127E0F1C5}">
  <dimension ref="A1:I23"/>
  <sheetViews>
    <sheetView showGridLines="0" zoomScaleNormal="100" workbookViewId="0">
      <selection activeCell="I3" sqref="I3"/>
    </sheetView>
  </sheetViews>
  <sheetFormatPr defaultRowHeight="15" x14ac:dyDescent="0.25"/>
  <cols>
    <col min="1" max="2" width="14.7109375" customWidth="1"/>
    <col min="3" max="3" width="24.140625" bestFit="1" customWidth="1"/>
    <col min="4" max="4" width="14.7109375" customWidth="1"/>
    <col min="5" max="5" width="14.5703125" customWidth="1"/>
    <col min="6" max="6" width="14.7109375" customWidth="1"/>
    <col min="7" max="7" width="90.5703125" bestFit="1" customWidth="1"/>
    <col min="8" max="8" width="20.42578125" customWidth="1"/>
    <col min="9" max="9" width="22.85546875" customWidth="1"/>
    <col min="10" max="10" width="12" bestFit="1" customWidth="1"/>
  </cols>
  <sheetData>
    <row r="1" spans="1:9" ht="20.25" x14ac:dyDescent="0.3">
      <c r="A1" s="58" t="s">
        <v>19</v>
      </c>
      <c r="B1" s="59"/>
      <c r="C1" s="59"/>
      <c r="D1" s="59"/>
      <c r="E1" s="59"/>
      <c r="F1" s="59"/>
      <c r="G1" s="59"/>
      <c r="H1" s="59"/>
      <c r="I1" s="59"/>
    </row>
    <row r="2" spans="1:9" ht="15.75" x14ac:dyDescent="0.25">
      <c r="A2" s="25" t="s">
        <v>14</v>
      </c>
      <c r="B2" s="26" t="s">
        <v>20</v>
      </c>
      <c r="C2" s="26" t="s">
        <v>15</v>
      </c>
      <c r="D2" s="26" t="s">
        <v>17</v>
      </c>
      <c r="E2" s="26" t="s">
        <v>16</v>
      </c>
      <c r="F2" s="26" t="s">
        <v>25</v>
      </c>
      <c r="G2" s="26" t="s">
        <v>18</v>
      </c>
      <c r="H2" s="26" t="s">
        <v>29</v>
      </c>
      <c r="I2" s="27" t="s">
        <v>30</v>
      </c>
    </row>
    <row r="3" spans="1:9" ht="15.75" x14ac:dyDescent="0.25">
      <c r="A3" s="17">
        <v>1</v>
      </c>
      <c r="B3" s="4">
        <v>46181</v>
      </c>
      <c r="C3" s="3" t="s">
        <v>26</v>
      </c>
      <c r="D3" s="3">
        <v>17</v>
      </c>
      <c r="E3" s="3">
        <v>1</v>
      </c>
      <c r="F3" s="3">
        <v>0</v>
      </c>
      <c r="G3" s="8" t="s">
        <v>27</v>
      </c>
      <c r="H3" s="9">
        <f>D3+E3+F3</f>
        <v>18</v>
      </c>
      <c r="I3" s="23">
        <f>H3/400*100</f>
        <v>4.5</v>
      </c>
    </row>
    <row r="4" spans="1:9" ht="15.75" x14ac:dyDescent="0.25">
      <c r="A4" s="17">
        <f>A3+1</f>
        <v>2</v>
      </c>
      <c r="B4" s="5">
        <v>46171</v>
      </c>
      <c r="C4" s="3" t="s">
        <v>22</v>
      </c>
      <c r="D4" s="3">
        <v>4</v>
      </c>
      <c r="E4" s="3">
        <v>0</v>
      </c>
      <c r="F4" s="3">
        <v>0</v>
      </c>
      <c r="G4" s="8" t="s">
        <v>28</v>
      </c>
      <c r="H4" s="9">
        <f t="shared" ref="H4:H22" si="0">D4+E4+F4</f>
        <v>4</v>
      </c>
      <c r="I4" s="23">
        <f t="shared" ref="I4:I22" si="1">H4/400*100</f>
        <v>1</v>
      </c>
    </row>
    <row r="5" spans="1:9" ht="15.75" x14ac:dyDescent="0.25">
      <c r="A5" s="17">
        <f t="shared" ref="A5:A21" si="2">A4+1</f>
        <v>3</v>
      </c>
      <c r="B5" s="4">
        <v>46126</v>
      </c>
      <c r="C5" s="3" t="s">
        <v>23</v>
      </c>
      <c r="D5" s="3">
        <v>12</v>
      </c>
      <c r="E5" s="3">
        <v>0</v>
      </c>
      <c r="F5" s="3">
        <v>2</v>
      </c>
      <c r="G5" s="8" t="s">
        <v>27</v>
      </c>
      <c r="H5" s="9">
        <f t="shared" si="0"/>
        <v>14</v>
      </c>
      <c r="I5" s="23">
        <f t="shared" si="1"/>
        <v>3.5000000000000004</v>
      </c>
    </row>
    <row r="6" spans="1:9" ht="15.75" x14ac:dyDescent="0.25">
      <c r="A6" s="17">
        <f t="shared" si="2"/>
        <v>4</v>
      </c>
      <c r="B6" s="4">
        <v>46087</v>
      </c>
      <c r="C6" s="3" t="s">
        <v>22</v>
      </c>
      <c r="D6" s="3">
        <v>4</v>
      </c>
      <c r="E6" s="3">
        <v>0</v>
      </c>
      <c r="F6" s="3">
        <v>0</v>
      </c>
      <c r="G6" s="8" t="s">
        <v>27</v>
      </c>
      <c r="H6" s="9">
        <f t="shared" si="0"/>
        <v>4</v>
      </c>
      <c r="I6" s="23">
        <f t="shared" si="1"/>
        <v>1</v>
      </c>
    </row>
    <row r="7" spans="1:9" ht="15.75" x14ac:dyDescent="0.25">
      <c r="A7" s="17">
        <f t="shared" si="2"/>
        <v>5</v>
      </c>
      <c r="B7" s="4">
        <v>46087</v>
      </c>
      <c r="C7" s="3" t="s">
        <v>22</v>
      </c>
      <c r="D7" s="3">
        <v>6</v>
      </c>
      <c r="E7" s="3">
        <v>0</v>
      </c>
      <c r="F7" s="3">
        <v>0</v>
      </c>
      <c r="G7" s="8" t="s">
        <v>27</v>
      </c>
      <c r="H7" s="9">
        <f t="shared" si="0"/>
        <v>6</v>
      </c>
      <c r="I7" s="23">
        <f t="shared" si="1"/>
        <v>1.5</v>
      </c>
    </row>
    <row r="8" spans="1:9" ht="15.75" x14ac:dyDescent="0.25">
      <c r="A8" s="17">
        <f t="shared" si="2"/>
        <v>6</v>
      </c>
      <c r="B8" s="4">
        <v>46063</v>
      </c>
      <c r="C8" s="3" t="s">
        <v>24</v>
      </c>
      <c r="D8" s="3">
        <v>9</v>
      </c>
      <c r="E8" s="3">
        <v>0</v>
      </c>
      <c r="F8" s="3">
        <v>0</v>
      </c>
      <c r="G8" s="8" t="s">
        <v>28</v>
      </c>
      <c r="H8" s="9">
        <f t="shared" si="0"/>
        <v>9</v>
      </c>
      <c r="I8" s="23">
        <f t="shared" si="1"/>
        <v>2.25</v>
      </c>
    </row>
    <row r="9" spans="1:9" ht="15.75" x14ac:dyDescent="0.25">
      <c r="A9" s="17">
        <f t="shared" si="2"/>
        <v>7</v>
      </c>
      <c r="B9" s="4">
        <v>46058</v>
      </c>
      <c r="C9" s="3" t="s">
        <v>22</v>
      </c>
      <c r="D9" s="3">
        <v>9</v>
      </c>
      <c r="E9" s="3">
        <v>0</v>
      </c>
      <c r="F9" s="3">
        <v>0</v>
      </c>
      <c r="G9" s="8" t="s">
        <v>27</v>
      </c>
      <c r="H9" s="9">
        <f t="shared" si="0"/>
        <v>9</v>
      </c>
      <c r="I9" s="23">
        <f t="shared" si="1"/>
        <v>2.25</v>
      </c>
    </row>
    <row r="10" spans="1:9" ht="15.75" x14ac:dyDescent="0.25">
      <c r="A10" s="17">
        <f t="shared" si="2"/>
        <v>8</v>
      </c>
      <c r="B10" s="4">
        <v>46057</v>
      </c>
      <c r="C10" s="3" t="s">
        <v>24</v>
      </c>
      <c r="D10" s="3">
        <v>13</v>
      </c>
      <c r="E10" s="3">
        <v>1</v>
      </c>
      <c r="F10" s="3">
        <v>0</v>
      </c>
      <c r="G10" s="8" t="s">
        <v>28</v>
      </c>
      <c r="H10" s="9">
        <f t="shared" si="0"/>
        <v>14</v>
      </c>
      <c r="I10" s="23">
        <f t="shared" si="1"/>
        <v>3.5000000000000004</v>
      </c>
    </row>
    <row r="11" spans="1:9" ht="15.75" x14ac:dyDescent="0.25">
      <c r="A11" s="17">
        <f t="shared" si="2"/>
        <v>9</v>
      </c>
      <c r="B11" s="4">
        <v>46055</v>
      </c>
      <c r="C11" s="3" t="s">
        <v>22</v>
      </c>
      <c r="D11" s="3">
        <v>8</v>
      </c>
      <c r="E11" s="3">
        <v>0</v>
      </c>
      <c r="F11" s="3">
        <v>0</v>
      </c>
      <c r="G11" s="8" t="s">
        <v>27</v>
      </c>
      <c r="H11" s="9">
        <f t="shared" si="0"/>
        <v>8</v>
      </c>
      <c r="I11" s="23">
        <f t="shared" si="1"/>
        <v>2</v>
      </c>
    </row>
    <row r="12" spans="1:9" ht="15.75" x14ac:dyDescent="0.25">
      <c r="A12" s="17">
        <f t="shared" si="2"/>
        <v>10</v>
      </c>
      <c r="B12" s="4">
        <v>45987</v>
      </c>
      <c r="C12" s="3" t="s">
        <v>24</v>
      </c>
      <c r="D12" s="3">
        <v>11</v>
      </c>
      <c r="E12" s="3">
        <v>0</v>
      </c>
      <c r="F12" s="3">
        <v>1</v>
      </c>
      <c r="G12" s="8" t="s">
        <v>27</v>
      </c>
      <c r="H12" s="9">
        <f t="shared" si="0"/>
        <v>12</v>
      </c>
      <c r="I12" s="23">
        <f t="shared" si="1"/>
        <v>3</v>
      </c>
    </row>
    <row r="13" spans="1:9" ht="15.75" x14ac:dyDescent="0.25">
      <c r="A13" s="17">
        <f t="shared" si="2"/>
        <v>11</v>
      </c>
      <c r="B13" s="4">
        <v>46146</v>
      </c>
      <c r="C13" s="3" t="s">
        <v>23</v>
      </c>
      <c r="D13" s="3">
        <v>10</v>
      </c>
      <c r="E13" s="3">
        <v>0</v>
      </c>
      <c r="F13" s="3">
        <v>1</v>
      </c>
      <c r="G13" s="8" t="s">
        <v>28</v>
      </c>
      <c r="H13" s="9">
        <f t="shared" si="0"/>
        <v>11</v>
      </c>
      <c r="I13" s="23">
        <f>H13/400*100</f>
        <v>2.75</v>
      </c>
    </row>
    <row r="14" spans="1:9" ht="15.75" x14ac:dyDescent="0.25">
      <c r="A14" s="17">
        <f t="shared" si="2"/>
        <v>12</v>
      </c>
      <c r="B14" s="4">
        <v>46027</v>
      </c>
      <c r="C14" s="3" t="s">
        <v>24</v>
      </c>
      <c r="D14" s="3">
        <v>11</v>
      </c>
      <c r="E14" s="3">
        <v>0</v>
      </c>
      <c r="F14" s="3">
        <v>2</v>
      </c>
      <c r="G14" s="8" t="s">
        <v>27</v>
      </c>
      <c r="H14" s="9">
        <f t="shared" si="0"/>
        <v>13</v>
      </c>
      <c r="I14" s="23">
        <f t="shared" si="1"/>
        <v>3.25</v>
      </c>
    </row>
    <row r="15" spans="1:9" ht="15.75" x14ac:dyDescent="0.25">
      <c r="A15" s="17">
        <f t="shared" si="2"/>
        <v>13</v>
      </c>
      <c r="B15" s="4">
        <v>45854</v>
      </c>
      <c r="C15" s="3" t="s">
        <v>24</v>
      </c>
      <c r="D15" s="3">
        <v>8</v>
      </c>
      <c r="E15" s="3">
        <v>0</v>
      </c>
      <c r="F15" s="3">
        <v>8</v>
      </c>
      <c r="G15" s="8" t="s">
        <v>28</v>
      </c>
      <c r="H15" s="9">
        <f t="shared" si="0"/>
        <v>16</v>
      </c>
      <c r="I15" s="23">
        <f t="shared" si="1"/>
        <v>4</v>
      </c>
    </row>
    <row r="16" spans="1:9" ht="15.75" x14ac:dyDescent="0.25">
      <c r="A16" s="17">
        <f t="shared" si="2"/>
        <v>14</v>
      </c>
      <c r="B16" s="4">
        <v>45949</v>
      </c>
      <c r="C16" s="3" t="s">
        <v>24</v>
      </c>
      <c r="D16" s="3">
        <v>20</v>
      </c>
      <c r="E16" s="3">
        <v>0</v>
      </c>
      <c r="F16" s="3">
        <v>2</v>
      </c>
      <c r="G16" s="8" t="s">
        <v>28</v>
      </c>
      <c r="H16" s="9">
        <f t="shared" si="0"/>
        <v>22</v>
      </c>
      <c r="I16" s="23">
        <f t="shared" si="1"/>
        <v>5.5</v>
      </c>
    </row>
    <row r="17" spans="1:9" ht="15.75" x14ac:dyDescent="0.25">
      <c r="A17" s="17">
        <f t="shared" si="2"/>
        <v>15</v>
      </c>
      <c r="B17" s="4">
        <v>45834</v>
      </c>
      <c r="C17" s="3" t="s">
        <v>24</v>
      </c>
      <c r="D17" s="3">
        <v>11</v>
      </c>
      <c r="E17" s="3">
        <v>0</v>
      </c>
      <c r="F17" s="3">
        <v>2</v>
      </c>
      <c r="G17" s="8" t="s">
        <v>28</v>
      </c>
      <c r="H17" s="9">
        <f t="shared" si="0"/>
        <v>13</v>
      </c>
      <c r="I17" s="23">
        <f t="shared" si="1"/>
        <v>3.25</v>
      </c>
    </row>
    <row r="18" spans="1:9" ht="15.75" x14ac:dyDescent="0.25">
      <c r="A18" s="17">
        <f t="shared" si="2"/>
        <v>16</v>
      </c>
      <c r="B18" s="4">
        <v>45965</v>
      </c>
      <c r="C18" s="3" t="s">
        <v>23</v>
      </c>
      <c r="D18" s="3">
        <v>7</v>
      </c>
      <c r="E18" s="3">
        <v>0</v>
      </c>
      <c r="F18" s="3">
        <v>0</v>
      </c>
      <c r="G18" s="8" t="s">
        <v>27</v>
      </c>
      <c r="H18" s="9">
        <f t="shared" si="0"/>
        <v>7</v>
      </c>
      <c r="I18" s="23">
        <f t="shared" si="1"/>
        <v>1.7500000000000002</v>
      </c>
    </row>
    <row r="19" spans="1:9" ht="15.75" x14ac:dyDescent="0.25">
      <c r="A19" s="17">
        <f t="shared" si="2"/>
        <v>17</v>
      </c>
      <c r="B19" s="6" t="s">
        <v>21</v>
      </c>
      <c r="C19" s="3" t="s">
        <v>23</v>
      </c>
      <c r="D19" s="3">
        <v>0</v>
      </c>
      <c r="E19" s="3">
        <v>0</v>
      </c>
      <c r="F19" s="3">
        <v>0</v>
      </c>
      <c r="G19" s="8" t="s">
        <v>27</v>
      </c>
      <c r="H19" s="9">
        <f t="shared" si="0"/>
        <v>0</v>
      </c>
      <c r="I19" s="23">
        <f t="shared" si="1"/>
        <v>0</v>
      </c>
    </row>
    <row r="20" spans="1:9" ht="15.75" x14ac:dyDescent="0.25">
      <c r="A20" s="17">
        <f t="shared" si="2"/>
        <v>18</v>
      </c>
      <c r="B20" s="4">
        <v>46109</v>
      </c>
      <c r="C20" s="3" t="s">
        <v>23</v>
      </c>
      <c r="D20" s="3">
        <v>11</v>
      </c>
      <c r="E20" s="3">
        <v>0</v>
      </c>
      <c r="F20" s="3">
        <v>0</v>
      </c>
      <c r="G20" s="8" t="s">
        <v>27</v>
      </c>
      <c r="H20" s="9">
        <f t="shared" si="0"/>
        <v>11</v>
      </c>
      <c r="I20" s="23">
        <f t="shared" si="1"/>
        <v>2.75</v>
      </c>
    </row>
    <row r="21" spans="1:9" ht="15.75" x14ac:dyDescent="0.25">
      <c r="A21" s="17">
        <f t="shared" si="2"/>
        <v>19</v>
      </c>
      <c r="B21" s="4">
        <v>45988</v>
      </c>
      <c r="C21" s="3" t="s">
        <v>24</v>
      </c>
      <c r="D21" s="3">
        <v>15</v>
      </c>
      <c r="E21" s="3">
        <v>0</v>
      </c>
      <c r="F21" s="3">
        <v>2</v>
      </c>
      <c r="G21" s="8" t="s">
        <v>28</v>
      </c>
      <c r="H21" s="9">
        <f t="shared" si="0"/>
        <v>17</v>
      </c>
      <c r="I21" s="23">
        <f t="shared" si="1"/>
        <v>4.25</v>
      </c>
    </row>
    <row r="22" spans="1:9" ht="15.75" x14ac:dyDescent="0.25">
      <c r="A22" s="19">
        <f>A21+1</f>
        <v>20</v>
      </c>
      <c r="B22" s="21">
        <v>45876</v>
      </c>
      <c r="C22" s="10" t="s">
        <v>23</v>
      </c>
      <c r="D22" s="10">
        <v>9</v>
      </c>
      <c r="E22" s="10">
        <v>0</v>
      </c>
      <c r="F22" s="10">
        <v>0</v>
      </c>
      <c r="G22" s="11" t="s">
        <v>27</v>
      </c>
      <c r="H22" s="22">
        <f t="shared" si="0"/>
        <v>9</v>
      </c>
      <c r="I22" s="24">
        <f t="shared" si="1"/>
        <v>2.25</v>
      </c>
    </row>
    <row r="23" spans="1:9" ht="15.75" x14ac:dyDescent="0.25">
      <c r="G23" s="12"/>
      <c r="I23" s="13"/>
    </row>
  </sheetData>
  <mergeCells count="1">
    <mergeCell ref="A1:I1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BD988-8D1C-4D16-8E8B-655F2639E823}">
  <dimension ref="A1:F28"/>
  <sheetViews>
    <sheetView showGridLines="0" workbookViewId="0">
      <selection activeCell="A15" sqref="A15:B15"/>
    </sheetView>
  </sheetViews>
  <sheetFormatPr defaultRowHeight="15" x14ac:dyDescent="0.25"/>
  <cols>
    <col min="1" max="1" width="53.140625" bestFit="1" customWidth="1"/>
    <col min="2" max="2" width="30.28515625" customWidth="1"/>
    <col min="3" max="3" width="2.5703125" customWidth="1"/>
    <col min="4" max="4" width="41.85546875" bestFit="1" customWidth="1"/>
    <col min="5" max="5" width="14" bestFit="1" customWidth="1"/>
    <col min="6" max="6" width="43" bestFit="1" customWidth="1"/>
  </cols>
  <sheetData>
    <row r="1" spans="1:6" ht="18.75" x14ac:dyDescent="0.3">
      <c r="A1" s="55" t="s">
        <v>64</v>
      </c>
      <c r="B1" s="57"/>
      <c r="C1" s="14"/>
      <c r="D1" s="29" t="s">
        <v>35</v>
      </c>
      <c r="E1" s="29" t="s">
        <v>37</v>
      </c>
      <c r="F1" s="29" t="s">
        <v>38</v>
      </c>
    </row>
    <row r="2" spans="1:6" ht="15.75" x14ac:dyDescent="0.25">
      <c r="A2" s="25" t="s">
        <v>32</v>
      </c>
      <c r="B2" s="27" t="s">
        <v>33</v>
      </c>
      <c r="C2" s="14"/>
      <c r="D2" s="20" t="s">
        <v>36</v>
      </c>
      <c r="E2" s="20" t="s">
        <v>50</v>
      </c>
      <c r="F2" s="20" t="s">
        <v>51</v>
      </c>
    </row>
    <row r="3" spans="1:6" ht="15.75" x14ac:dyDescent="0.25">
      <c r="A3" s="17" t="s">
        <v>52</v>
      </c>
      <c r="B3" s="18" t="s">
        <v>34</v>
      </c>
      <c r="C3" s="14"/>
      <c r="F3" s="15"/>
    </row>
    <row r="4" spans="1:6" ht="15.75" x14ac:dyDescent="0.25">
      <c r="A4" s="17" t="s">
        <v>53</v>
      </c>
      <c r="B4" s="18" t="s">
        <v>11</v>
      </c>
      <c r="C4" s="14"/>
      <c r="D4" s="16"/>
      <c r="E4" s="16"/>
      <c r="F4" s="16"/>
    </row>
    <row r="5" spans="1:6" ht="15.75" x14ac:dyDescent="0.25">
      <c r="A5" s="17" t="s">
        <v>54</v>
      </c>
      <c r="B5" s="18" t="s">
        <v>11</v>
      </c>
      <c r="C5" s="14"/>
    </row>
    <row r="6" spans="1:6" ht="15.75" x14ac:dyDescent="0.25">
      <c r="A6" s="17" t="s">
        <v>55</v>
      </c>
      <c r="B6" s="18" t="s">
        <v>11</v>
      </c>
      <c r="C6" s="14"/>
      <c r="D6" s="29" t="s">
        <v>40</v>
      </c>
      <c r="E6" s="29" t="s">
        <v>10</v>
      </c>
      <c r="F6" s="29" t="s">
        <v>61</v>
      </c>
    </row>
    <row r="7" spans="1:6" ht="15.75" x14ac:dyDescent="0.25">
      <c r="A7" s="17" t="s">
        <v>56</v>
      </c>
      <c r="B7" s="18" t="s">
        <v>11</v>
      </c>
      <c r="C7" s="14"/>
      <c r="D7" s="20" t="s">
        <v>62</v>
      </c>
      <c r="E7" s="31">
        <f>(74+34+59)/3</f>
        <v>55.666666666666664</v>
      </c>
      <c r="F7" s="20" t="s">
        <v>63</v>
      </c>
    </row>
    <row r="8" spans="1:6" ht="15.75" x14ac:dyDescent="0.25">
      <c r="A8" s="17" t="s">
        <v>57</v>
      </c>
      <c r="B8" s="18" t="s">
        <v>11</v>
      </c>
      <c r="C8" s="14"/>
    </row>
    <row r="9" spans="1:6" ht="15.75" x14ac:dyDescent="0.25">
      <c r="A9" s="17" t="s">
        <v>58</v>
      </c>
      <c r="B9" s="18" t="s">
        <v>11</v>
      </c>
      <c r="C9" s="14"/>
    </row>
    <row r="10" spans="1:6" ht="15.75" x14ac:dyDescent="0.25">
      <c r="A10" s="17" t="s">
        <v>59</v>
      </c>
      <c r="B10" s="18" t="s">
        <v>11</v>
      </c>
      <c r="C10" s="14"/>
    </row>
    <row r="11" spans="1:6" ht="15.75" x14ac:dyDescent="0.25">
      <c r="A11" s="19" t="s">
        <v>60</v>
      </c>
      <c r="B11" s="32">
        <v>7</v>
      </c>
      <c r="C11" s="14"/>
    </row>
    <row r="12" spans="1:6" x14ac:dyDescent="0.25">
      <c r="C12" s="14"/>
    </row>
    <row r="13" spans="1:6" x14ac:dyDescent="0.25">
      <c r="A13" s="16"/>
      <c r="B13" s="16"/>
      <c r="C13" s="14"/>
    </row>
    <row r="14" spans="1:6" x14ac:dyDescent="0.25">
      <c r="C14" s="14"/>
    </row>
    <row r="15" spans="1:6" ht="18.75" x14ac:dyDescent="0.3">
      <c r="A15" s="55" t="s">
        <v>39</v>
      </c>
      <c r="B15" s="57"/>
      <c r="C15" s="14"/>
    </row>
    <row r="16" spans="1:6" ht="15.75" x14ac:dyDescent="0.25">
      <c r="A16" s="28" t="s">
        <v>40</v>
      </c>
      <c r="B16" s="28" t="s">
        <v>31</v>
      </c>
      <c r="C16" s="14"/>
    </row>
    <row r="17" spans="1:3" ht="15.75" x14ac:dyDescent="0.25">
      <c r="A17" s="20" t="s">
        <v>41</v>
      </c>
      <c r="B17" s="20" t="s">
        <v>47</v>
      </c>
      <c r="C17" s="14"/>
    </row>
    <row r="18" spans="1:3" ht="15.75" x14ac:dyDescent="0.25">
      <c r="A18" s="3" t="s">
        <v>42</v>
      </c>
      <c r="B18" s="3" t="s">
        <v>49</v>
      </c>
      <c r="C18" s="14"/>
    </row>
    <row r="19" spans="1:3" ht="15.75" x14ac:dyDescent="0.25">
      <c r="A19" s="20" t="s">
        <v>43</v>
      </c>
      <c r="B19" s="20" t="s">
        <v>48</v>
      </c>
      <c r="C19" s="14"/>
    </row>
    <row r="20" spans="1:3" ht="15.75" x14ac:dyDescent="0.25">
      <c r="A20" s="3" t="s">
        <v>44</v>
      </c>
      <c r="B20" s="3" t="s">
        <v>48</v>
      </c>
      <c r="C20" s="14"/>
    </row>
    <row r="21" spans="1:3" ht="15.75" x14ac:dyDescent="0.25">
      <c r="A21" s="20" t="s">
        <v>45</v>
      </c>
      <c r="B21" s="20" t="s">
        <v>48</v>
      </c>
      <c r="C21" s="14"/>
    </row>
    <row r="22" spans="1:3" ht="15.75" x14ac:dyDescent="0.25">
      <c r="A22" s="3" t="s">
        <v>46</v>
      </c>
      <c r="B22" s="3" t="s">
        <v>48</v>
      </c>
      <c r="C22" s="14"/>
    </row>
    <row r="23" spans="1:3" x14ac:dyDescent="0.25">
      <c r="C23" s="30"/>
    </row>
    <row r="24" spans="1:3" x14ac:dyDescent="0.25">
      <c r="C24" s="30"/>
    </row>
    <row r="25" spans="1:3" x14ac:dyDescent="0.25">
      <c r="C25" s="30"/>
    </row>
    <row r="26" spans="1:3" x14ac:dyDescent="0.25">
      <c r="C26" s="30"/>
    </row>
    <row r="27" spans="1:3" x14ac:dyDescent="0.25">
      <c r="C27" s="30"/>
    </row>
    <row r="28" spans="1:3" x14ac:dyDescent="0.25">
      <c r="C28" s="30"/>
    </row>
  </sheetData>
  <mergeCells count="2">
    <mergeCell ref="A1:B1"/>
    <mergeCell ref="A15:B15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36B78-8A2E-46E5-A94C-013533D2AFA8}">
  <dimension ref="A1:E9"/>
  <sheetViews>
    <sheetView zoomScaleNormal="100" workbookViewId="0">
      <selection sqref="A1:E1"/>
    </sheetView>
  </sheetViews>
  <sheetFormatPr defaultRowHeight="15" x14ac:dyDescent="0.25"/>
  <cols>
    <col min="1" max="1" width="22.42578125" bestFit="1" customWidth="1"/>
    <col min="2" max="2" width="13.7109375" customWidth="1"/>
    <col min="3" max="3" width="39.5703125" bestFit="1" customWidth="1"/>
    <col min="4" max="4" width="28.85546875" bestFit="1" customWidth="1"/>
    <col min="5" max="5" width="19.85546875" bestFit="1" customWidth="1"/>
  </cols>
  <sheetData>
    <row r="1" spans="1:5" ht="20.25" x14ac:dyDescent="0.3">
      <c r="A1" s="60" t="s">
        <v>66</v>
      </c>
      <c r="B1" s="60"/>
      <c r="C1" s="60"/>
      <c r="D1" s="60"/>
      <c r="E1" s="60"/>
    </row>
    <row r="2" spans="1:5" ht="15.75" x14ac:dyDescent="0.25">
      <c r="A2" s="28" t="s">
        <v>40</v>
      </c>
      <c r="B2" s="28" t="s">
        <v>65</v>
      </c>
      <c r="C2" s="28" t="s">
        <v>74</v>
      </c>
      <c r="D2" s="28" t="s">
        <v>75</v>
      </c>
      <c r="E2" s="28" t="s">
        <v>76</v>
      </c>
    </row>
    <row r="3" spans="1:5" ht="15.75" x14ac:dyDescent="0.25">
      <c r="A3" s="3" t="s">
        <v>67</v>
      </c>
      <c r="B3" s="3">
        <v>400</v>
      </c>
      <c r="C3" s="3">
        <v>1819</v>
      </c>
      <c r="D3" s="3">
        <v>392</v>
      </c>
      <c r="E3" s="3">
        <v>2375</v>
      </c>
    </row>
    <row r="4" spans="1:5" ht="15.75" x14ac:dyDescent="0.25">
      <c r="A4" s="3" t="s">
        <v>68</v>
      </c>
      <c r="B4" s="3">
        <v>1.73</v>
      </c>
      <c r="C4" s="3">
        <v>0</v>
      </c>
      <c r="D4" s="3">
        <v>0</v>
      </c>
      <c r="E4" s="3">
        <v>0</v>
      </c>
    </row>
    <row r="5" spans="1:5" ht="15.75" x14ac:dyDescent="0.25">
      <c r="A5" s="3" t="s">
        <v>69</v>
      </c>
      <c r="B5" s="40" t="s">
        <v>13</v>
      </c>
      <c r="C5" s="41" t="s">
        <v>13</v>
      </c>
      <c r="D5" s="41" t="s">
        <v>13</v>
      </c>
      <c r="E5" s="41" t="s">
        <v>13</v>
      </c>
    </row>
    <row r="6" spans="1:5" ht="15.75" x14ac:dyDescent="0.25">
      <c r="A6" s="3" t="s">
        <v>70</v>
      </c>
      <c r="B6" s="42">
        <v>2.7099999999999999E-2</v>
      </c>
      <c r="C6" s="7" t="s">
        <v>82</v>
      </c>
      <c r="D6" s="7" t="s">
        <v>82</v>
      </c>
      <c r="E6" s="7" t="s">
        <v>82</v>
      </c>
    </row>
    <row r="7" spans="1:5" ht="15.75" x14ac:dyDescent="0.25">
      <c r="A7" s="3" t="s">
        <v>71</v>
      </c>
      <c r="B7" s="7" t="s">
        <v>47</v>
      </c>
      <c r="C7" s="43" t="s">
        <v>84</v>
      </c>
      <c r="D7" s="7" t="s">
        <v>83</v>
      </c>
      <c r="E7" s="43" t="s">
        <v>84</v>
      </c>
    </row>
    <row r="8" spans="1:5" ht="15.75" x14ac:dyDescent="0.25">
      <c r="A8" s="3" t="s">
        <v>72</v>
      </c>
      <c r="B8" s="7" t="s">
        <v>50</v>
      </c>
      <c r="C8" s="7" t="s">
        <v>77</v>
      </c>
      <c r="D8" s="7" t="s">
        <v>79</v>
      </c>
      <c r="E8" s="7" t="s">
        <v>81</v>
      </c>
    </row>
    <row r="9" spans="1:5" ht="15.75" x14ac:dyDescent="0.25">
      <c r="A9" s="3" t="s">
        <v>73</v>
      </c>
      <c r="B9" s="7" t="s">
        <v>51</v>
      </c>
      <c r="C9" s="7" t="s">
        <v>78</v>
      </c>
      <c r="D9" s="7" t="s">
        <v>80</v>
      </c>
      <c r="E9" s="7" t="s">
        <v>47</v>
      </c>
    </row>
  </sheetData>
  <mergeCells count="1">
    <mergeCell ref="A1:E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869A4-ABC9-484D-B1F9-12016FE362E7}">
  <dimension ref="A1:B42"/>
  <sheetViews>
    <sheetView workbookViewId="0">
      <selection activeCell="A2" sqref="A2:B2"/>
    </sheetView>
  </sheetViews>
  <sheetFormatPr defaultRowHeight="15" x14ac:dyDescent="0.25"/>
  <cols>
    <col min="1" max="1" width="83.140625" bestFit="1" customWidth="1"/>
    <col min="2" max="2" width="226" bestFit="1" customWidth="1"/>
  </cols>
  <sheetData>
    <row r="1" spans="1:2" ht="23.25" customHeight="1" x14ac:dyDescent="0.3">
      <c r="A1" s="62" t="s">
        <v>157</v>
      </c>
      <c r="B1" s="62"/>
    </row>
    <row r="2" spans="1:2" ht="20.25" x14ac:dyDescent="0.3">
      <c r="A2" s="61" t="s">
        <v>158</v>
      </c>
      <c r="B2" s="61"/>
    </row>
    <row r="3" spans="1:2" x14ac:dyDescent="0.25">
      <c r="A3" s="47" t="s">
        <v>125</v>
      </c>
      <c r="B3" s="47" t="s">
        <v>126</v>
      </c>
    </row>
    <row r="4" spans="1:2" ht="15.75" x14ac:dyDescent="0.25">
      <c r="A4" s="52" t="s">
        <v>86</v>
      </c>
      <c r="B4" s="52" t="s">
        <v>91</v>
      </c>
    </row>
    <row r="5" spans="1:2" ht="15.75" x14ac:dyDescent="0.25">
      <c r="A5" s="52" t="s">
        <v>87</v>
      </c>
      <c r="B5" s="52" t="s">
        <v>92</v>
      </c>
    </row>
    <row r="6" spans="1:2" ht="15.75" x14ac:dyDescent="0.25">
      <c r="A6" s="52" t="s">
        <v>88</v>
      </c>
      <c r="B6" s="52" t="s">
        <v>89</v>
      </c>
    </row>
    <row r="7" spans="1:2" ht="15.75" x14ac:dyDescent="0.25">
      <c r="A7" s="52" t="s">
        <v>90</v>
      </c>
      <c r="B7" s="52" t="s">
        <v>93</v>
      </c>
    </row>
    <row r="8" spans="1:2" x14ac:dyDescent="0.25">
      <c r="A8" s="46"/>
      <c r="B8" s="46"/>
    </row>
    <row r="9" spans="1:2" ht="20.25" x14ac:dyDescent="0.3">
      <c r="A9" s="61" t="s">
        <v>127</v>
      </c>
      <c r="B9" s="61"/>
    </row>
    <row r="10" spans="1:2" ht="15.75" x14ac:dyDescent="0.25">
      <c r="A10" s="20" t="s">
        <v>94</v>
      </c>
      <c r="B10" s="20" t="s">
        <v>98</v>
      </c>
    </row>
    <row r="11" spans="1:2" ht="15.75" x14ac:dyDescent="0.25">
      <c r="A11" s="3" t="s">
        <v>95</v>
      </c>
      <c r="B11" s="3" t="s">
        <v>99</v>
      </c>
    </row>
    <row r="12" spans="1:2" ht="15.75" x14ac:dyDescent="0.25">
      <c r="A12" s="20" t="s">
        <v>96</v>
      </c>
      <c r="B12" s="45" t="s">
        <v>100</v>
      </c>
    </row>
    <row r="13" spans="1:2" ht="15.75" x14ac:dyDescent="0.25">
      <c r="A13" s="3" t="s">
        <v>97</v>
      </c>
      <c r="B13" s="42" t="s">
        <v>101</v>
      </c>
    </row>
    <row r="14" spans="1:2" x14ac:dyDescent="0.25">
      <c r="A14" s="46"/>
      <c r="B14" s="46"/>
    </row>
    <row r="15" spans="1:2" x14ac:dyDescent="0.25">
      <c r="A15" s="46"/>
      <c r="B15" s="46"/>
    </row>
    <row r="16" spans="1:2" ht="20.25" x14ac:dyDescent="0.3">
      <c r="A16" s="61" t="s">
        <v>128</v>
      </c>
      <c r="B16" s="61"/>
    </row>
    <row r="17" spans="1:2" ht="15.75" x14ac:dyDescent="0.25">
      <c r="A17" s="20"/>
      <c r="B17" s="20" t="s">
        <v>102</v>
      </c>
    </row>
    <row r="18" spans="1:2" ht="15.75" x14ac:dyDescent="0.25">
      <c r="A18" s="3"/>
      <c r="B18" s="3" t="s">
        <v>103</v>
      </c>
    </row>
    <row r="19" spans="1:2" ht="15.75" x14ac:dyDescent="0.25">
      <c r="A19" s="20"/>
      <c r="B19" s="20" t="s">
        <v>104</v>
      </c>
    </row>
    <row r="20" spans="1:2" ht="15.75" x14ac:dyDescent="0.25">
      <c r="A20" s="3"/>
      <c r="B20" s="3" t="s">
        <v>105</v>
      </c>
    </row>
    <row r="21" spans="1:2" ht="15.75" x14ac:dyDescent="0.25">
      <c r="A21" s="20"/>
      <c r="B21" s="20" t="s">
        <v>106</v>
      </c>
    </row>
    <row r="22" spans="1:2" ht="15.75" x14ac:dyDescent="0.25">
      <c r="A22" s="3"/>
      <c r="B22" s="3" t="s">
        <v>107</v>
      </c>
    </row>
    <row r="23" spans="1:2" x14ac:dyDescent="0.25">
      <c r="A23" s="53"/>
      <c r="B23" s="53"/>
    </row>
    <row r="24" spans="1:2" x14ac:dyDescent="0.25">
      <c r="A24" s="46"/>
      <c r="B24" s="46"/>
    </row>
    <row r="25" spans="1:2" ht="20.25" x14ac:dyDescent="0.3">
      <c r="A25" s="61" t="s">
        <v>129</v>
      </c>
      <c r="B25" s="61"/>
    </row>
    <row r="26" spans="1:2" ht="15.75" x14ac:dyDescent="0.25">
      <c r="A26" s="20"/>
      <c r="B26" s="20" t="s">
        <v>108</v>
      </c>
    </row>
    <row r="27" spans="1:2" ht="15.75" x14ac:dyDescent="0.25">
      <c r="A27" s="3"/>
      <c r="B27" s="3" t="s">
        <v>109</v>
      </c>
    </row>
    <row r="28" spans="1:2" ht="15.75" x14ac:dyDescent="0.25">
      <c r="A28" s="20"/>
      <c r="B28" s="20" t="s">
        <v>110</v>
      </c>
    </row>
    <row r="29" spans="1:2" ht="15.75" x14ac:dyDescent="0.25">
      <c r="A29" s="3"/>
      <c r="B29" s="3" t="s">
        <v>111</v>
      </c>
    </row>
    <row r="30" spans="1:2" ht="15.75" x14ac:dyDescent="0.25">
      <c r="A30" s="20"/>
      <c r="B30" s="20" t="s">
        <v>112</v>
      </c>
    </row>
    <row r="31" spans="1:2" x14ac:dyDescent="0.25">
      <c r="A31" s="46"/>
      <c r="B31" s="46"/>
    </row>
    <row r="32" spans="1:2" x14ac:dyDescent="0.25">
      <c r="A32" s="46"/>
      <c r="B32" s="46"/>
    </row>
    <row r="33" spans="1:2" ht="20.25" x14ac:dyDescent="0.3">
      <c r="A33" s="61" t="s">
        <v>130</v>
      </c>
      <c r="B33" s="61"/>
    </row>
    <row r="34" spans="1:2" ht="15.75" x14ac:dyDescent="0.25">
      <c r="A34" s="20" t="s">
        <v>113</v>
      </c>
      <c r="B34" s="20" t="s">
        <v>116</v>
      </c>
    </row>
    <row r="35" spans="1:2" ht="15.75" x14ac:dyDescent="0.25">
      <c r="A35" s="3" t="s">
        <v>114</v>
      </c>
      <c r="B35" s="3" t="s">
        <v>117</v>
      </c>
    </row>
    <row r="36" spans="1:2" ht="15.75" x14ac:dyDescent="0.25">
      <c r="A36" s="20" t="s">
        <v>115</v>
      </c>
      <c r="B36" s="45" t="s">
        <v>118</v>
      </c>
    </row>
    <row r="37" spans="1:2" x14ac:dyDescent="0.25">
      <c r="A37" s="46"/>
      <c r="B37" s="46"/>
    </row>
    <row r="38" spans="1:2" x14ac:dyDescent="0.25">
      <c r="A38" s="46"/>
      <c r="B38" s="46"/>
    </row>
    <row r="39" spans="1:2" ht="20.25" x14ac:dyDescent="0.3">
      <c r="A39" s="61" t="s">
        <v>131</v>
      </c>
      <c r="B39" s="61"/>
    </row>
    <row r="40" spans="1:2" ht="15.75" x14ac:dyDescent="0.25">
      <c r="A40" s="20" t="s">
        <v>119</v>
      </c>
      <c r="B40" s="20" t="s">
        <v>122</v>
      </c>
    </row>
    <row r="41" spans="1:2" ht="15.75" x14ac:dyDescent="0.25">
      <c r="A41" s="3" t="s">
        <v>120</v>
      </c>
      <c r="B41" s="3" t="s">
        <v>123</v>
      </c>
    </row>
    <row r="42" spans="1:2" ht="15.75" x14ac:dyDescent="0.25">
      <c r="A42" s="20" t="s">
        <v>121</v>
      </c>
      <c r="B42" s="45" t="s">
        <v>124</v>
      </c>
    </row>
  </sheetData>
  <mergeCells count="7">
    <mergeCell ref="A33:B33"/>
    <mergeCell ref="A39:B39"/>
    <mergeCell ref="A2:B2"/>
    <mergeCell ref="A1:B1"/>
    <mergeCell ref="A9:B9"/>
    <mergeCell ref="A16:B16"/>
    <mergeCell ref="A25:B25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69DD1-8D82-434C-A2F7-C5EFA4EBD627}">
  <dimension ref="A1:E7"/>
  <sheetViews>
    <sheetView zoomScale="99" workbookViewId="0">
      <selection activeCell="A2" sqref="A2"/>
    </sheetView>
  </sheetViews>
  <sheetFormatPr defaultRowHeight="15" x14ac:dyDescent="0.25"/>
  <cols>
    <col min="1" max="1" width="90.140625" bestFit="1" customWidth="1"/>
    <col min="2" max="2" width="17.85546875" bestFit="1" customWidth="1"/>
    <col min="3" max="3" width="19.42578125" bestFit="1" customWidth="1"/>
    <col min="4" max="4" width="46.85546875" bestFit="1" customWidth="1"/>
    <col min="5" max="5" width="36.5703125" bestFit="1" customWidth="1"/>
  </cols>
  <sheetData>
    <row r="1" spans="1:5" ht="20.25" x14ac:dyDescent="0.3">
      <c r="A1" s="63" t="s">
        <v>132</v>
      </c>
      <c r="B1" s="64"/>
      <c r="C1" s="64"/>
      <c r="D1" s="64"/>
      <c r="E1" s="65"/>
    </row>
    <row r="2" spans="1:5" ht="15.75" x14ac:dyDescent="0.25">
      <c r="A2" s="28" t="s">
        <v>133</v>
      </c>
      <c r="B2" s="28" t="s">
        <v>149</v>
      </c>
      <c r="C2" s="28" t="s">
        <v>137</v>
      </c>
      <c r="D2" s="28" t="s">
        <v>138</v>
      </c>
      <c r="E2" s="28" t="s">
        <v>139</v>
      </c>
    </row>
    <row r="3" spans="1:5" ht="15.75" x14ac:dyDescent="0.25">
      <c r="A3" s="20" t="s">
        <v>134</v>
      </c>
      <c r="B3" s="20" t="s">
        <v>140</v>
      </c>
      <c r="C3" s="20" t="s">
        <v>141</v>
      </c>
      <c r="D3" s="20" t="s">
        <v>142</v>
      </c>
      <c r="E3" s="20" t="s">
        <v>143</v>
      </c>
    </row>
    <row r="4" spans="1:5" ht="15.75" x14ac:dyDescent="0.25">
      <c r="A4" s="3" t="s">
        <v>146</v>
      </c>
      <c r="B4" s="3" t="s">
        <v>147</v>
      </c>
      <c r="C4" s="3" t="s">
        <v>148</v>
      </c>
      <c r="D4" s="3" t="s">
        <v>150</v>
      </c>
      <c r="E4" s="3" t="s">
        <v>151</v>
      </c>
    </row>
    <row r="5" spans="1:5" ht="15.75" x14ac:dyDescent="0.25">
      <c r="A5" s="20" t="s">
        <v>135</v>
      </c>
      <c r="B5" s="45" t="s">
        <v>140</v>
      </c>
      <c r="C5" s="20" t="s">
        <v>141</v>
      </c>
      <c r="D5" s="45" t="s">
        <v>145</v>
      </c>
      <c r="E5" s="20" t="s">
        <v>143</v>
      </c>
    </row>
    <row r="6" spans="1:5" ht="15.75" x14ac:dyDescent="0.25">
      <c r="A6" s="3" t="s">
        <v>136</v>
      </c>
      <c r="B6" s="42" t="s">
        <v>140</v>
      </c>
      <c r="C6" s="3" t="s">
        <v>141</v>
      </c>
      <c r="D6" s="42" t="s">
        <v>144</v>
      </c>
      <c r="E6" s="3" t="s">
        <v>156</v>
      </c>
    </row>
    <row r="7" spans="1:5" ht="15.75" x14ac:dyDescent="0.25">
      <c r="A7" s="20" t="s">
        <v>152</v>
      </c>
      <c r="B7" s="20" t="s">
        <v>153</v>
      </c>
      <c r="C7" s="20" t="s">
        <v>141</v>
      </c>
      <c r="D7" s="20" t="s">
        <v>154</v>
      </c>
      <c r="E7" s="20" t="s">
        <v>155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36D3A-72A8-4A2E-8633-5A11F2529F8F}">
  <dimension ref="A1:F13"/>
  <sheetViews>
    <sheetView workbookViewId="0">
      <selection sqref="A1:F1"/>
    </sheetView>
  </sheetViews>
  <sheetFormatPr defaultRowHeight="15" x14ac:dyDescent="0.25"/>
  <cols>
    <col min="1" max="1" width="26.42578125" bestFit="1" customWidth="1"/>
    <col min="2" max="2" width="36.140625" bestFit="1" customWidth="1"/>
    <col min="3" max="3" width="39.5703125" bestFit="1" customWidth="1"/>
    <col min="4" max="4" width="37.28515625" bestFit="1" customWidth="1"/>
    <col min="5" max="5" width="24.5703125" bestFit="1" customWidth="1"/>
    <col min="6" max="6" width="38.85546875" bestFit="1" customWidth="1"/>
  </cols>
  <sheetData>
    <row r="1" spans="1:6" ht="20.25" x14ac:dyDescent="0.3">
      <c r="A1" s="63" t="s">
        <v>159</v>
      </c>
      <c r="B1" s="64"/>
      <c r="C1" s="64"/>
      <c r="D1" s="64"/>
      <c r="E1" s="64"/>
      <c r="F1" s="64"/>
    </row>
    <row r="2" spans="1:6" ht="15.75" x14ac:dyDescent="0.25">
      <c r="A2" s="28" t="s">
        <v>160</v>
      </c>
      <c r="B2" s="28" t="s">
        <v>161</v>
      </c>
      <c r="C2" s="28" t="s">
        <v>162</v>
      </c>
      <c r="D2" s="28" t="s">
        <v>163</v>
      </c>
      <c r="E2" s="28" t="s">
        <v>164</v>
      </c>
      <c r="F2" s="28" t="s">
        <v>165</v>
      </c>
    </row>
    <row r="3" spans="1:6" ht="15.75" x14ac:dyDescent="0.25">
      <c r="A3" s="20" t="s">
        <v>166</v>
      </c>
      <c r="B3" s="20" t="s">
        <v>167</v>
      </c>
      <c r="C3" s="20" t="s">
        <v>168</v>
      </c>
      <c r="D3" s="20" t="s">
        <v>169</v>
      </c>
      <c r="E3" s="20" t="s">
        <v>170</v>
      </c>
      <c r="F3" s="20" t="s">
        <v>171</v>
      </c>
    </row>
    <row r="4" spans="1:6" ht="15.75" x14ac:dyDescent="0.25">
      <c r="A4" s="3" t="s">
        <v>172</v>
      </c>
      <c r="B4" s="3" t="s">
        <v>173</v>
      </c>
      <c r="C4" s="3" t="s">
        <v>174</v>
      </c>
      <c r="D4" s="3" t="s">
        <v>169</v>
      </c>
      <c r="E4" s="3" t="s">
        <v>175</v>
      </c>
      <c r="F4" s="3" t="s">
        <v>176</v>
      </c>
    </row>
    <row r="5" spans="1:6" ht="15.75" x14ac:dyDescent="0.25">
      <c r="A5" s="20" t="s">
        <v>177</v>
      </c>
      <c r="B5" s="45" t="s">
        <v>178</v>
      </c>
      <c r="C5" s="20" t="s">
        <v>179</v>
      </c>
      <c r="D5" s="45" t="s">
        <v>180</v>
      </c>
      <c r="E5" s="20" t="s">
        <v>181</v>
      </c>
      <c r="F5" s="20" t="s">
        <v>182</v>
      </c>
    </row>
    <row r="8" spans="1:6" ht="20.25" x14ac:dyDescent="0.3">
      <c r="A8" s="63" t="s">
        <v>195</v>
      </c>
      <c r="B8" s="64"/>
      <c r="C8" s="64"/>
      <c r="D8" s="64"/>
    </row>
    <row r="9" spans="1:6" ht="15.75" x14ac:dyDescent="0.25">
      <c r="A9" s="28" t="s">
        <v>160</v>
      </c>
      <c r="B9" s="28" t="s">
        <v>183</v>
      </c>
      <c r="C9" s="28" t="s">
        <v>184</v>
      </c>
      <c r="D9" s="28" t="s">
        <v>185</v>
      </c>
    </row>
    <row r="10" spans="1:6" ht="15.75" x14ac:dyDescent="0.25">
      <c r="A10" s="20" t="s">
        <v>166</v>
      </c>
      <c r="B10" s="20" t="s">
        <v>186</v>
      </c>
      <c r="C10" s="20" t="s">
        <v>187</v>
      </c>
      <c r="D10" s="20" t="s">
        <v>188</v>
      </c>
    </row>
    <row r="11" spans="1:6" ht="15.75" x14ac:dyDescent="0.25">
      <c r="A11" s="3" t="s">
        <v>172</v>
      </c>
      <c r="B11" s="3" t="s">
        <v>189</v>
      </c>
      <c r="C11" s="3" t="s">
        <v>191</v>
      </c>
      <c r="D11" s="3" t="s">
        <v>193</v>
      </c>
    </row>
    <row r="12" spans="1:6" ht="15.75" x14ac:dyDescent="0.25">
      <c r="A12" s="20" t="s">
        <v>177</v>
      </c>
      <c r="B12" s="45" t="s">
        <v>190</v>
      </c>
      <c r="C12" s="20" t="s">
        <v>192</v>
      </c>
      <c r="D12" s="45" t="s">
        <v>194</v>
      </c>
    </row>
    <row r="13" spans="1:6" ht="15.75" x14ac:dyDescent="0.25">
      <c r="A13" s="3"/>
      <c r="B13" s="42"/>
      <c r="C13" s="3"/>
      <c r="D13" s="42"/>
    </row>
  </sheetData>
  <mergeCells count="2">
    <mergeCell ref="A8:D8"/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10241-DA9B-4513-A1F5-F8949A0696BA}">
  <dimension ref="A1:F20"/>
  <sheetViews>
    <sheetView workbookViewId="0">
      <selection activeCell="D9" sqref="D9"/>
    </sheetView>
  </sheetViews>
  <sheetFormatPr defaultRowHeight="15" x14ac:dyDescent="0.25"/>
  <cols>
    <col min="2" max="2" width="17.85546875" bestFit="1" customWidth="1"/>
    <col min="3" max="3" width="5.5703125" bestFit="1" customWidth="1"/>
    <col min="4" max="4" width="20.140625" bestFit="1" customWidth="1"/>
    <col min="5" max="5" width="19.85546875" bestFit="1" customWidth="1"/>
    <col min="6" max="6" width="70.5703125" bestFit="1" customWidth="1"/>
  </cols>
  <sheetData>
    <row r="1" spans="1:6" ht="20.25" x14ac:dyDescent="0.3">
      <c r="A1" s="63" t="s">
        <v>227</v>
      </c>
      <c r="B1" s="64"/>
      <c r="C1" s="64"/>
      <c r="D1" s="64"/>
      <c r="E1" s="64"/>
      <c r="F1" s="64"/>
    </row>
    <row r="2" spans="1:6" ht="15.75" x14ac:dyDescent="0.25">
      <c r="A2" s="28" t="s">
        <v>226</v>
      </c>
      <c r="B2" s="28" t="s">
        <v>20</v>
      </c>
      <c r="C2" s="28" t="s">
        <v>196</v>
      </c>
      <c r="D2" s="28" t="s">
        <v>160</v>
      </c>
      <c r="E2" s="28" t="s">
        <v>162</v>
      </c>
      <c r="F2" s="28" t="s">
        <v>197</v>
      </c>
    </row>
    <row r="3" spans="1:6" ht="15.75" x14ac:dyDescent="0.25">
      <c r="A3" s="20">
        <v>1</v>
      </c>
      <c r="B3" s="49">
        <v>44713</v>
      </c>
      <c r="C3" s="20" t="s">
        <v>198</v>
      </c>
      <c r="D3" s="20" t="s">
        <v>172</v>
      </c>
      <c r="E3" s="20" t="s">
        <v>199</v>
      </c>
      <c r="F3" s="20" t="s">
        <v>200</v>
      </c>
    </row>
    <row r="4" spans="1:6" ht="15.75" x14ac:dyDescent="0.25">
      <c r="A4" s="3">
        <f>A3+1</f>
        <v>2</v>
      </c>
      <c r="B4" s="50">
        <v>45444</v>
      </c>
      <c r="C4" s="3" t="s">
        <v>201</v>
      </c>
      <c r="D4" s="3" t="s">
        <v>177</v>
      </c>
      <c r="E4" s="3" t="s">
        <v>202</v>
      </c>
      <c r="F4" s="3" t="s">
        <v>203</v>
      </c>
    </row>
    <row r="5" spans="1:6" ht="15.75" x14ac:dyDescent="0.25">
      <c r="A5" s="20">
        <f t="shared" ref="A5:A19" si="0">A4+1</f>
        <v>3</v>
      </c>
      <c r="B5" s="44" t="s">
        <v>231</v>
      </c>
      <c r="C5" s="20" t="s">
        <v>204</v>
      </c>
      <c r="D5" s="45" t="s">
        <v>166</v>
      </c>
      <c r="E5" s="20" t="s">
        <v>205</v>
      </c>
      <c r="F5" s="45" t="s">
        <v>206</v>
      </c>
    </row>
    <row r="6" spans="1:6" ht="15.75" x14ac:dyDescent="0.25">
      <c r="A6" s="48">
        <f t="shared" si="0"/>
        <v>4</v>
      </c>
      <c r="B6" s="51">
        <v>47270</v>
      </c>
      <c r="C6" s="48" t="s">
        <v>198</v>
      </c>
      <c r="D6" s="48" t="s">
        <v>172</v>
      </c>
      <c r="E6" s="48" t="s">
        <v>207</v>
      </c>
      <c r="F6" s="48" t="s">
        <v>208</v>
      </c>
    </row>
    <row r="7" spans="1:6" ht="15.75" x14ac:dyDescent="0.25">
      <c r="A7" s="20">
        <f t="shared" si="0"/>
        <v>5</v>
      </c>
      <c r="B7" s="49">
        <v>37073</v>
      </c>
      <c r="C7" s="20" t="s">
        <v>201</v>
      </c>
      <c r="D7" s="20" t="s">
        <v>177</v>
      </c>
      <c r="E7" s="20" t="s">
        <v>209</v>
      </c>
      <c r="F7" s="20" t="s">
        <v>210</v>
      </c>
    </row>
    <row r="8" spans="1:6" ht="15.75" x14ac:dyDescent="0.25">
      <c r="A8" s="3">
        <f t="shared" si="0"/>
        <v>6</v>
      </c>
      <c r="B8" s="50">
        <v>37803</v>
      </c>
      <c r="C8" s="3" t="s">
        <v>204</v>
      </c>
      <c r="D8" s="3" t="s">
        <v>166</v>
      </c>
      <c r="E8" s="3" t="s">
        <v>205</v>
      </c>
      <c r="F8" s="3" t="s">
        <v>211</v>
      </c>
    </row>
    <row r="9" spans="1:6" ht="15.75" x14ac:dyDescent="0.25">
      <c r="A9" s="20">
        <f t="shared" si="0"/>
        <v>7</v>
      </c>
      <c r="B9" s="44" t="s">
        <v>228</v>
      </c>
      <c r="C9" s="20" t="s">
        <v>198</v>
      </c>
      <c r="D9" s="45" t="s">
        <v>172</v>
      </c>
      <c r="E9" s="20" t="s">
        <v>199</v>
      </c>
      <c r="F9" s="45" t="s">
        <v>212</v>
      </c>
    </row>
    <row r="10" spans="1:6" ht="15.75" x14ac:dyDescent="0.25">
      <c r="A10" s="48">
        <f t="shared" si="0"/>
        <v>8</v>
      </c>
      <c r="B10" s="51">
        <v>39630</v>
      </c>
      <c r="C10" s="48" t="s">
        <v>201</v>
      </c>
      <c r="D10" s="48" t="s">
        <v>177</v>
      </c>
      <c r="E10" s="48" t="s">
        <v>202</v>
      </c>
      <c r="F10" s="48" t="s">
        <v>213</v>
      </c>
    </row>
    <row r="11" spans="1:6" ht="15.75" x14ac:dyDescent="0.25">
      <c r="A11" s="20">
        <f t="shared" si="0"/>
        <v>9</v>
      </c>
      <c r="B11" s="49">
        <v>40360</v>
      </c>
      <c r="C11" s="20" t="s">
        <v>204</v>
      </c>
      <c r="D11" s="20" t="s">
        <v>166</v>
      </c>
      <c r="E11" s="20" t="s">
        <v>205</v>
      </c>
      <c r="F11" s="20" t="s">
        <v>214</v>
      </c>
    </row>
    <row r="12" spans="1:6" ht="15.75" x14ac:dyDescent="0.25">
      <c r="A12" s="3">
        <f t="shared" si="0"/>
        <v>10</v>
      </c>
      <c r="B12" s="50">
        <v>41456</v>
      </c>
      <c r="C12" s="3" t="s">
        <v>198</v>
      </c>
      <c r="D12" s="3" t="s">
        <v>172</v>
      </c>
      <c r="E12" s="3" t="s">
        <v>215</v>
      </c>
      <c r="F12" s="3" t="s">
        <v>216</v>
      </c>
    </row>
    <row r="13" spans="1:6" ht="15.75" x14ac:dyDescent="0.25">
      <c r="A13" s="20">
        <f t="shared" si="0"/>
        <v>11</v>
      </c>
      <c r="B13" s="44" t="s">
        <v>229</v>
      </c>
      <c r="C13" s="20" t="s">
        <v>201</v>
      </c>
      <c r="D13" s="45" t="s">
        <v>177</v>
      </c>
      <c r="E13" s="20" t="s">
        <v>217</v>
      </c>
      <c r="F13" s="45" t="s">
        <v>218</v>
      </c>
    </row>
    <row r="14" spans="1:6" ht="15.75" x14ac:dyDescent="0.25">
      <c r="A14" s="48">
        <f t="shared" si="0"/>
        <v>12</v>
      </c>
      <c r="B14" s="51">
        <v>42917</v>
      </c>
      <c r="C14" s="48" t="s">
        <v>204</v>
      </c>
      <c r="D14" s="48" t="s">
        <v>166</v>
      </c>
      <c r="E14" s="48" t="s">
        <v>205</v>
      </c>
      <c r="F14" s="48" t="s">
        <v>219</v>
      </c>
    </row>
    <row r="15" spans="1:6" ht="15.75" x14ac:dyDescent="0.25">
      <c r="A15" s="20">
        <f t="shared" si="0"/>
        <v>13</v>
      </c>
      <c r="B15" s="49">
        <v>44013</v>
      </c>
      <c r="C15" s="20" t="s">
        <v>198</v>
      </c>
      <c r="D15" s="20" t="s">
        <v>172</v>
      </c>
      <c r="E15" s="20" t="s">
        <v>199</v>
      </c>
      <c r="F15" s="20" t="s">
        <v>220</v>
      </c>
    </row>
    <row r="16" spans="1:6" ht="15.75" x14ac:dyDescent="0.25">
      <c r="A16" s="3">
        <f t="shared" si="0"/>
        <v>14</v>
      </c>
      <c r="B16" s="50">
        <v>44743</v>
      </c>
      <c r="C16" s="3" t="s">
        <v>201</v>
      </c>
      <c r="D16" s="3" t="s">
        <v>177</v>
      </c>
      <c r="E16" s="3" t="s">
        <v>209</v>
      </c>
      <c r="F16" s="3" t="s">
        <v>221</v>
      </c>
    </row>
    <row r="17" spans="1:6" ht="15.75" x14ac:dyDescent="0.25">
      <c r="A17" s="20">
        <f t="shared" si="0"/>
        <v>15</v>
      </c>
      <c r="B17" s="44" t="s">
        <v>230</v>
      </c>
      <c r="C17" s="20" t="s">
        <v>204</v>
      </c>
      <c r="D17" s="45" t="s">
        <v>166</v>
      </c>
      <c r="E17" s="20" t="s">
        <v>205</v>
      </c>
      <c r="F17" s="45" t="s">
        <v>222</v>
      </c>
    </row>
    <row r="18" spans="1:6" ht="15.75" x14ac:dyDescent="0.25">
      <c r="A18" s="48">
        <f t="shared" si="0"/>
        <v>16</v>
      </c>
      <c r="B18" s="51">
        <v>46569</v>
      </c>
      <c r="C18" s="48" t="s">
        <v>198</v>
      </c>
      <c r="D18" s="48" t="s">
        <v>172</v>
      </c>
      <c r="E18" s="48" t="s">
        <v>207</v>
      </c>
      <c r="F18" s="48" t="s">
        <v>223</v>
      </c>
    </row>
    <row r="19" spans="1:6" ht="15.75" x14ac:dyDescent="0.25">
      <c r="A19" s="20">
        <f t="shared" si="0"/>
        <v>17</v>
      </c>
      <c r="B19" s="49">
        <v>47300</v>
      </c>
      <c r="C19" s="20" t="s">
        <v>201</v>
      </c>
      <c r="D19" s="20" t="s">
        <v>177</v>
      </c>
      <c r="E19" s="20" t="s">
        <v>202</v>
      </c>
      <c r="F19" s="20" t="s">
        <v>224</v>
      </c>
    </row>
    <row r="20" spans="1:6" ht="15.75" x14ac:dyDescent="0.25">
      <c r="A20" s="3">
        <f>A19+1</f>
        <v>18</v>
      </c>
      <c r="B20" s="50">
        <v>48030</v>
      </c>
      <c r="C20" s="3" t="s">
        <v>204</v>
      </c>
      <c r="D20" s="3" t="s">
        <v>166</v>
      </c>
      <c r="E20" s="3" t="s">
        <v>205</v>
      </c>
      <c r="F20" s="3" t="s">
        <v>225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E42C-200B-4CC2-BA8E-8B994B248F07}">
  <dimension ref="A1:F30"/>
  <sheetViews>
    <sheetView workbookViewId="0">
      <selection activeCell="D31" sqref="D31"/>
    </sheetView>
  </sheetViews>
  <sheetFormatPr defaultRowHeight="15" x14ac:dyDescent="0.25"/>
  <cols>
    <col min="1" max="1" width="48.42578125" bestFit="1" customWidth="1"/>
    <col min="2" max="2" width="33.140625" bestFit="1" customWidth="1"/>
    <col min="3" max="3" width="41.28515625" bestFit="1" customWidth="1"/>
    <col min="4" max="4" width="37.42578125" bestFit="1" customWidth="1"/>
    <col min="5" max="5" width="18.85546875" bestFit="1" customWidth="1"/>
    <col min="6" max="6" width="22" bestFit="1" customWidth="1"/>
  </cols>
  <sheetData>
    <row r="1" spans="1:6" ht="20.25" x14ac:dyDescent="0.3">
      <c r="A1" s="63" t="s">
        <v>232</v>
      </c>
      <c r="B1" s="64"/>
      <c r="C1" s="64"/>
      <c r="D1" s="64"/>
      <c r="E1" s="64"/>
      <c r="F1" s="64"/>
    </row>
    <row r="3" spans="1:6" ht="18.75" x14ac:dyDescent="0.3">
      <c r="A3" s="66" t="s">
        <v>296</v>
      </c>
      <c r="B3" s="67"/>
      <c r="C3" s="67"/>
      <c r="D3" s="67"/>
      <c r="E3" s="68"/>
    </row>
    <row r="4" spans="1:6" ht="15.75" x14ac:dyDescent="0.25">
      <c r="A4" s="28" t="s">
        <v>40</v>
      </c>
      <c r="B4" s="28" t="s">
        <v>238</v>
      </c>
      <c r="C4" s="28" t="s">
        <v>239</v>
      </c>
      <c r="D4" s="28" t="s">
        <v>240</v>
      </c>
      <c r="E4" s="28" t="s">
        <v>241</v>
      </c>
    </row>
    <row r="5" spans="1:6" ht="15.75" x14ac:dyDescent="0.25">
      <c r="A5" s="20" t="s">
        <v>233</v>
      </c>
      <c r="B5" s="49">
        <v>1.73</v>
      </c>
      <c r="C5" s="20" t="s">
        <v>242</v>
      </c>
      <c r="D5" s="20" t="s">
        <v>247</v>
      </c>
      <c r="E5" s="20" t="s">
        <v>251</v>
      </c>
    </row>
    <row r="6" spans="1:6" ht="15.75" x14ac:dyDescent="0.25">
      <c r="A6" s="3" t="s">
        <v>234</v>
      </c>
      <c r="B6" s="50">
        <v>220</v>
      </c>
      <c r="C6" s="3" t="s">
        <v>243</v>
      </c>
      <c r="D6" s="3" t="s">
        <v>250</v>
      </c>
      <c r="E6" s="3" t="s">
        <v>252</v>
      </c>
      <c r="F6" s="54"/>
    </row>
    <row r="7" spans="1:6" ht="15.75" x14ac:dyDescent="0.25">
      <c r="A7" s="20" t="s">
        <v>235</v>
      </c>
      <c r="B7" s="44">
        <v>2.7099999999999999E-2</v>
      </c>
      <c r="C7" s="20" t="s">
        <v>244</v>
      </c>
      <c r="D7" s="45" t="s">
        <v>248</v>
      </c>
      <c r="E7" s="20" t="s">
        <v>253</v>
      </c>
    </row>
    <row r="8" spans="1:6" ht="15.75" x14ac:dyDescent="0.25">
      <c r="A8" s="48" t="s">
        <v>236</v>
      </c>
      <c r="B8" s="51">
        <v>5</v>
      </c>
      <c r="C8" s="48" t="s">
        <v>245</v>
      </c>
      <c r="D8" s="48" t="s">
        <v>249</v>
      </c>
      <c r="E8" s="48" t="s">
        <v>254</v>
      </c>
    </row>
    <row r="9" spans="1:6" ht="15.75" x14ac:dyDescent="0.25">
      <c r="A9" s="20" t="s">
        <v>237</v>
      </c>
      <c r="B9" s="49">
        <v>0.1</v>
      </c>
      <c r="C9" s="20" t="s">
        <v>246</v>
      </c>
      <c r="D9" s="20"/>
      <c r="E9" s="20" t="s">
        <v>251</v>
      </c>
    </row>
    <row r="12" spans="1:6" ht="18.75" x14ac:dyDescent="0.3">
      <c r="A12" s="66" t="s">
        <v>255</v>
      </c>
      <c r="B12" s="67"/>
      <c r="C12" s="67"/>
      <c r="D12" s="68"/>
    </row>
    <row r="13" spans="1:6" ht="15.75" x14ac:dyDescent="0.25">
      <c r="A13" s="28" t="s">
        <v>256</v>
      </c>
      <c r="B13" s="28" t="s">
        <v>257</v>
      </c>
      <c r="C13" s="28" t="s">
        <v>258</v>
      </c>
      <c r="D13" s="28" t="s">
        <v>259</v>
      </c>
    </row>
    <row r="14" spans="1:6" ht="15.75" x14ac:dyDescent="0.25">
      <c r="A14" s="20" t="s">
        <v>260</v>
      </c>
      <c r="B14" s="49" t="s">
        <v>264</v>
      </c>
      <c r="C14" s="20" t="s">
        <v>267</v>
      </c>
      <c r="D14" s="20" t="s">
        <v>271</v>
      </c>
    </row>
    <row r="15" spans="1:6" ht="15.75" x14ac:dyDescent="0.25">
      <c r="A15" s="3" t="s">
        <v>261</v>
      </c>
      <c r="B15" s="50" t="s">
        <v>265</v>
      </c>
      <c r="C15" s="3" t="s">
        <v>268</v>
      </c>
      <c r="D15" s="3" t="s">
        <v>272</v>
      </c>
    </row>
    <row r="16" spans="1:6" ht="15.75" x14ac:dyDescent="0.25">
      <c r="A16" s="20" t="s">
        <v>262</v>
      </c>
      <c r="B16" s="44" t="s">
        <v>275</v>
      </c>
      <c r="C16" s="20" t="s">
        <v>269</v>
      </c>
      <c r="D16" s="45" t="s">
        <v>273</v>
      </c>
    </row>
    <row r="17" spans="1:6" ht="15.75" x14ac:dyDescent="0.25">
      <c r="A17" s="48" t="s">
        <v>263</v>
      </c>
      <c r="B17" s="51" t="s">
        <v>266</v>
      </c>
      <c r="C17" s="48" t="s">
        <v>270</v>
      </c>
      <c r="D17" s="48" t="s">
        <v>274</v>
      </c>
    </row>
    <row r="21" spans="1:6" ht="18.75" x14ac:dyDescent="0.3">
      <c r="A21" s="66" t="s">
        <v>276</v>
      </c>
      <c r="B21" s="67"/>
      <c r="C21" s="67"/>
      <c r="D21" s="67"/>
      <c r="E21" s="67"/>
      <c r="F21" s="68"/>
    </row>
    <row r="22" spans="1:6" ht="15.75" x14ac:dyDescent="0.25">
      <c r="A22" s="28" t="s">
        <v>277</v>
      </c>
      <c r="B22" s="28" t="s">
        <v>285</v>
      </c>
      <c r="C22" s="28" t="s">
        <v>286</v>
      </c>
      <c r="D22" s="28" t="s">
        <v>289</v>
      </c>
      <c r="E22" s="28" t="s">
        <v>287</v>
      </c>
      <c r="F22" s="28" t="s">
        <v>288</v>
      </c>
    </row>
    <row r="23" spans="1:6" ht="15.75" x14ac:dyDescent="0.25">
      <c r="A23" s="20" t="s">
        <v>278</v>
      </c>
      <c r="B23" s="20">
        <v>1.73</v>
      </c>
      <c r="C23" s="20">
        <v>8</v>
      </c>
      <c r="D23" s="20">
        <v>11</v>
      </c>
      <c r="E23" s="20">
        <v>13</v>
      </c>
      <c r="F23" s="72" t="s">
        <v>290</v>
      </c>
    </row>
    <row r="24" spans="1:6" ht="15.75" x14ac:dyDescent="0.25">
      <c r="A24" s="3" t="s">
        <v>279</v>
      </c>
      <c r="B24" s="3">
        <v>220</v>
      </c>
      <c r="C24" s="3">
        <v>231</v>
      </c>
      <c r="D24" s="3">
        <v>253</v>
      </c>
      <c r="E24" s="3">
        <v>280</v>
      </c>
      <c r="F24" s="7" t="s">
        <v>291</v>
      </c>
    </row>
    <row r="25" spans="1:6" ht="15.75" x14ac:dyDescent="0.25">
      <c r="A25" s="20" t="s">
        <v>280</v>
      </c>
      <c r="B25" s="20">
        <v>381</v>
      </c>
      <c r="C25" s="20">
        <v>1848</v>
      </c>
      <c r="D25" s="71">
        <v>2783</v>
      </c>
      <c r="E25" s="20">
        <v>3640</v>
      </c>
      <c r="F25" s="44" t="s">
        <v>292</v>
      </c>
    </row>
    <row r="26" spans="1:6" ht="15.75" x14ac:dyDescent="0.25">
      <c r="A26" s="48" t="s">
        <v>281</v>
      </c>
      <c r="B26" s="70">
        <v>2.7099999999999999E-2</v>
      </c>
      <c r="C26" s="70">
        <v>2.8500000000000001E-2</v>
      </c>
      <c r="D26" s="69">
        <v>3.1</v>
      </c>
      <c r="E26" s="48">
        <v>3.39E-2</v>
      </c>
      <c r="F26" s="73" t="s">
        <v>293</v>
      </c>
    </row>
    <row r="27" spans="1:6" ht="15.75" x14ac:dyDescent="0.25">
      <c r="A27" s="20" t="s">
        <v>282</v>
      </c>
      <c r="B27" s="31">
        <v>0.1</v>
      </c>
      <c r="C27" s="31">
        <v>0.3</v>
      </c>
      <c r="D27" s="20">
        <v>0.6</v>
      </c>
      <c r="E27" s="20">
        <v>1</v>
      </c>
      <c r="F27" s="72" t="s">
        <v>294</v>
      </c>
    </row>
    <row r="28" spans="1:6" ht="15.75" x14ac:dyDescent="0.25">
      <c r="A28" s="3" t="s">
        <v>283</v>
      </c>
      <c r="B28" s="3">
        <v>5</v>
      </c>
      <c r="C28" s="3">
        <v>8</v>
      </c>
      <c r="D28" s="3">
        <v>13</v>
      </c>
      <c r="E28" s="3">
        <v>18</v>
      </c>
      <c r="F28" s="74">
        <v>260</v>
      </c>
    </row>
    <row r="29" spans="1:6" ht="15.75" x14ac:dyDescent="0.25">
      <c r="A29" s="20" t="s">
        <v>236</v>
      </c>
      <c r="B29" s="20">
        <v>400</v>
      </c>
      <c r="C29" s="20">
        <v>408</v>
      </c>
      <c r="D29" s="71">
        <v>421</v>
      </c>
      <c r="E29" s="20">
        <v>439</v>
      </c>
      <c r="F29" s="44" t="s">
        <v>295</v>
      </c>
    </row>
    <row r="30" spans="1:6" x14ac:dyDescent="0.25">
      <c r="A30" t="s">
        <v>284</v>
      </c>
    </row>
  </sheetData>
  <mergeCells count="4">
    <mergeCell ref="A3:E3"/>
    <mergeCell ref="A12:D12"/>
    <mergeCell ref="A21:F21"/>
    <mergeCell ref="A1:F1"/>
  </mergeCells>
  <phoneticPr fontId="1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746E9-C85D-4EDB-9F1C-477C3A58D859}">
  <dimension ref="A1:F33"/>
  <sheetViews>
    <sheetView workbookViewId="0">
      <selection activeCell="I10" sqref="I10"/>
    </sheetView>
  </sheetViews>
  <sheetFormatPr defaultRowHeight="15" x14ac:dyDescent="0.25"/>
  <cols>
    <col min="1" max="1" width="26.140625" bestFit="1" customWidth="1"/>
    <col min="2" max="2" width="89.140625" bestFit="1" customWidth="1"/>
    <col min="3" max="3" width="9.28515625" bestFit="1" customWidth="1"/>
    <col min="4" max="6" width="16.28515625" bestFit="1" customWidth="1"/>
  </cols>
  <sheetData>
    <row r="1" spans="1:6" ht="20.25" x14ac:dyDescent="0.3">
      <c r="A1" s="63" t="s">
        <v>297</v>
      </c>
      <c r="B1" s="64"/>
      <c r="C1" s="64"/>
      <c r="D1" s="64"/>
      <c r="E1" s="64"/>
      <c r="F1" s="64"/>
    </row>
    <row r="2" spans="1:6" ht="15.75" x14ac:dyDescent="0.25">
      <c r="A2" s="28" t="s">
        <v>298</v>
      </c>
      <c r="B2" s="28" t="s">
        <v>299</v>
      </c>
      <c r="C2" s="28" t="s">
        <v>300</v>
      </c>
      <c r="D2" s="28" t="s">
        <v>301</v>
      </c>
      <c r="E2" s="28" t="s">
        <v>302</v>
      </c>
      <c r="F2" s="28" t="s">
        <v>303</v>
      </c>
    </row>
    <row r="3" spans="1:6" ht="15.75" x14ac:dyDescent="0.25">
      <c r="A3" s="20" t="s">
        <v>304</v>
      </c>
      <c r="B3" s="49" t="s">
        <v>309</v>
      </c>
      <c r="C3" s="72" t="s">
        <v>312</v>
      </c>
      <c r="D3" s="72">
        <v>8</v>
      </c>
      <c r="E3" s="72">
        <v>11</v>
      </c>
      <c r="F3" s="89">
        <v>13</v>
      </c>
    </row>
    <row r="4" spans="1:6" ht="15.75" x14ac:dyDescent="0.25">
      <c r="A4" s="3" t="s">
        <v>234</v>
      </c>
      <c r="B4" s="50" t="s">
        <v>310</v>
      </c>
      <c r="C4" s="7">
        <v>220</v>
      </c>
      <c r="D4" s="7">
        <v>231</v>
      </c>
      <c r="E4" s="7">
        <v>253</v>
      </c>
      <c r="F4" s="75">
        <v>280</v>
      </c>
    </row>
    <row r="5" spans="1:6" ht="15.75" x14ac:dyDescent="0.25">
      <c r="A5" s="20" t="s">
        <v>282</v>
      </c>
      <c r="B5" s="44" t="s">
        <v>310</v>
      </c>
      <c r="C5" s="86">
        <v>2.7099999999999999E-2</v>
      </c>
      <c r="D5" s="85">
        <v>2.8500000000000001E-2</v>
      </c>
      <c r="E5" s="86">
        <v>3.1E-2</v>
      </c>
      <c r="F5" s="84">
        <v>3.39E-2</v>
      </c>
    </row>
    <row r="6" spans="1:6" ht="15.75" x14ac:dyDescent="0.25">
      <c r="A6" s="48" t="s">
        <v>305</v>
      </c>
      <c r="B6" s="51" t="s">
        <v>310</v>
      </c>
      <c r="C6" s="73">
        <v>0.1</v>
      </c>
      <c r="D6" s="90">
        <v>0.3</v>
      </c>
      <c r="E6" s="90">
        <v>0.6</v>
      </c>
      <c r="F6" s="90">
        <v>1</v>
      </c>
    </row>
    <row r="7" spans="1:6" ht="15.75" x14ac:dyDescent="0.25">
      <c r="A7" s="20" t="s">
        <v>236</v>
      </c>
      <c r="B7" s="49" t="s">
        <v>310</v>
      </c>
      <c r="C7" s="72">
        <v>5</v>
      </c>
      <c r="D7" s="72">
        <v>8</v>
      </c>
      <c r="E7" s="72">
        <v>13</v>
      </c>
      <c r="F7" s="89">
        <v>18</v>
      </c>
    </row>
    <row r="8" spans="1:6" ht="15.75" x14ac:dyDescent="0.25">
      <c r="A8" s="48" t="s">
        <v>306</v>
      </c>
      <c r="B8" s="48" t="s">
        <v>309</v>
      </c>
      <c r="C8" s="73">
        <v>0</v>
      </c>
      <c r="D8" s="73">
        <v>3</v>
      </c>
      <c r="E8" s="73">
        <v>5</v>
      </c>
      <c r="F8" s="91">
        <v>7</v>
      </c>
    </row>
    <row r="9" spans="1:6" ht="15.75" x14ac:dyDescent="0.25">
      <c r="A9" s="20" t="s">
        <v>307</v>
      </c>
      <c r="B9" s="49" t="s">
        <v>311</v>
      </c>
      <c r="C9" s="87">
        <v>0.4</v>
      </c>
      <c r="D9" s="87">
        <v>0.6</v>
      </c>
      <c r="E9" s="87">
        <v>0.7</v>
      </c>
      <c r="F9" s="87">
        <v>0.8</v>
      </c>
    </row>
    <row r="10" spans="1:6" ht="15.75" x14ac:dyDescent="0.25">
      <c r="A10" s="3" t="s">
        <v>308</v>
      </c>
      <c r="B10" s="50" t="s">
        <v>309</v>
      </c>
      <c r="C10" s="88">
        <v>0.1</v>
      </c>
      <c r="D10" s="88">
        <v>1</v>
      </c>
      <c r="E10" s="88">
        <v>1</v>
      </c>
      <c r="F10" s="88">
        <v>1</v>
      </c>
    </row>
    <row r="14" spans="1:6" ht="18.75" x14ac:dyDescent="0.3">
      <c r="A14" s="66" t="s">
        <v>313</v>
      </c>
      <c r="B14" s="67"/>
      <c r="C14" s="67"/>
      <c r="D14" s="67"/>
      <c r="E14" s="67"/>
      <c r="F14" s="67"/>
    </row>
    <row r="15" spans="1:6" ht="15.75" x14ac:dyDescent="0.25">
      <c r="A15" s="28" t="s">
        <v>298</v>
      </c>
      <c r="B15" s="28" t="s">
        <v>299</v>
      </c>
      <c r="C15" s="28" t="s">
        <v>300</v>
      </c>
      <c r="D15" s="28" t="s">
        <v>301</v>
      </c>
      <c r="E15" s="28" t="s">
        <v>302</v>
      </c>
      <c r="F15" s="28" t="s">
        <v>303</v>
      </c>
    </row>
    <row r="16" spans="1:6" ht="15.75" x14ac:dyDescent="0.25">
      <c r="A16" s="20" t="s">
        <v>314</v>
      </c>
      <c r="B16" s="77" t="s">
        <v>319</v>
      </c>
      <c r="C16" s="72" t="s">
        <v>50</v>
      </c>
      <c r="D16" s="72" t="s">
        <v>325</v>
      </c>
      <c r="E16" s="72" t="s">
        <v>329</v>
      </c>
      <c r="F16" s="81" t="s">
        <v>326</v>
      </c>
    </row>
    <row r="17" spans="1:6" ht="15.75" x14ac:dyDescent="0.25">
      <c r="A17" s="3" t="s">
        <v>315</v>
      </c>
      <c r="B17" s="78" t="s">
        <v>319</v>
      </c>
      <c r="C17" s="7" t="s">
        <v>51</v>
      </c>
      <c r="D17" s="7" t="s">
        <v>326</v>
      </c>
      <c r="E17" s="7" t="s">
        <v>330</v>
      </c>
      <c r="F17" s="82" t="s">
        <v>333</v>
      </c>
    </row>
    <row r="18" spans="1:6" ht="15.75" x14ac:dyDescent="0.25">
      <c r="A18" s="20" t="s">
        <v>41</v>
      </c>
      <c r="B18" s="45" t="s">
        <v>320</v>
      </c>
      <c r="C18" s="72" t="s">
        <v>47</v>
      </c>
      <c r="D18" s="44" t="s">
        <v>327</v>
      </c>
      <c r="E18" s="72" t="s">
        <v>331</v>
      </c>
      <c r="F18" s="44" t="s">
        <v>333</v>
      </c>
    </row>
    <row r="19" spans="1:6" ht="15.75" x14ac:dyDescent="0.25">
      <c r="A19" s="48" t="s">
        <v>316</v>
      </c>
      <c r="B19" s="79" t="s">
        <v>321</v>
      </c>
      <c r="C19" s="73">
        <v>0</v>
      </c>
      <c r="D19" s="73">
        <v>1</v>
      </c>
      <c r="E19" s="73">
        <v>2</v>
      </c>
      <c r="F19" s="83">
        <v>3</v>
      </c>
    </row>
    <row r="20" spans="1:6" ht="15.75" x14ac:dyDescent="0.25">
      <c r="A20" s="20" t="s">
        <v>317</v>
      </c>
      <c r="B20" s="77" t="s">
        <v>322</v>
      </c>
      <c r="C20" s="72" t="s">
        <v>324</v>
      </c>
      <c r="D20" s="72" t="s">
        <v>328</v>
      </c>
      <c r="E20" s="72" t="s">
        <v>332</v>
      </c>
      <c r="F20" s="81" t="s">
        <v>334</v>
      </c>
    </row>
    <row r="21" spans="1:6" ht="15.75" x14ac:dyDescent="0.25">
      <c r="A21" s="48" t="s">
        <v>318</v>
      </c>
      <c r="B21" s="80" t="s">
        <v>323</v>
      </c>
      <c r="C21" s="73">
        <v>0</v>
      </c>
      <c r="D21" s="73" t="s">
        <v>337</v>
      </c>
      <c r="E21" s="73" t="s">
        <v>336</v>
      </c>
      <c r="F21" s="73" t="s">
        <v>335</v>
      </c>
    </row>
    <row r="25" spans="1:6" ht="18.75" x14ac:dyDescent="0.3">
      <c r="A25" s="66" t="s">
        <v>338</v>
      </c>
      <c r="B25" s="68"/>
    </row>
    <row r="26" spans="1:6" ht="15.75" x14ac:dyDescent="0.25">
      <c r="A26" s="28" t="s">
        <v>339</v>
      </c>
      <c r="B26" s="76" t="s">
        <v>340</v>
      </c>
    </row>
    <row r="27" spans="1:6" ht="15" customHeight="1" x14ac:dyDescent="0.25">
      <c r="A27" s="20" t="s">
        <v>341</v>
      </c>
      <c r="B27" s="77" t="s">
        <v>348</v>
      </c>
    </row>
    <row r="28" spans="1:6" ht="15" customHeight="1" x14ac:dyDescent="0.25">
      <c r="A28" s="3" t="s">
        <v>342</v>
      </c>
      <c r="B28" s="78" t="s">
        <v>349</v>
      </c>
    </row>
    <row r="29" spans="1:6" ht="15" customHeight="1" x14ac:dyDescent="0.25">
      <c r="A29" s="20" t="s">
        <v>343</v>
      </c>
      <c r="B29" s="45" t="s">
        <v>350</v>
      </c>
    </row>
    <row r="30" spans="1:6" ht="15" customHeight="1" x14ac:dyDescent="0.25">
      <c r="A30" s="48" t="s">
        <v>344</v>
      </c>
      <c r="B30" s="79" t="s">
        <v>351</v>
      </c>
    </row>
    <row r="31" spans="1:6" ht="15" customHeight="1" x14ac:dyDescent="0.25">
      <c r="A31" s="20" t="s">
        <v>345</v>
      </c>
      <c r="B31" s="77" t="s">
        <v>352</v>
      </c>
    </row>
    <row r="32" spans="1:6" ht="15" customHeight="1" x14ac:dyDescent="0.25">
      <c r="A32" s="48" t="s">
        <v>346</v>
      </c>
      <c r="B32" s="80" t="s">
        <v>353</v>
      </c>
    </row>
    <row r="33" spans="1:2" ht="15" customHeight="1" x14ac:dyDescent="0.25">
      <c r="A33" s="20" t="s">
        <v>347</v>
      </c>
      <c r="B33" s="77" t="s">
        <v>354</v>
      </c>
    </row>
  </sheetData>
  <mergeCells count="3">
    <mergeCell ref="A1:F1"/>
    <mergeCell ref="A14:F14"/>
    <mergeCell ref="A25:B25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LinkedIn Profile Audit</vt:lpstr>
      <vt:lpstr>Posting Analysis</vt:lpstr>
      <vt:lpstr>Website Audit</vt:lpstr>
      <vt:lpstr>Competitor Benchmark</vt:lpstr>
      <vt:lpstr>ICP Profile</vt:lpstr>
      <vt:lpstr>SEO Gap</vt:lpstr>
      <vt:lpstr>Campaign Theme</vt:lpstr>
      <vt:lpstr>Calender Table</vt:lpstr>
      <vt:lpstr>Projections</vt:lpstr>
      <vt:lpstr>KPI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Ayaan Alam</dc:creator>
  <cp:lastModifiedBy>Ayaan Alam</cp:lastModifiedBy>
  <dcterms:created xsi:type="dcterms:W3CDTF">2026-06-17T07:58:26Z</dcterms:created>
  <dcterms:modified xsi:type="dcterms:W3CDTF">2026-06-19T21:56:04Z</dcterms:modified>
</cp:coreProperties>
</file>